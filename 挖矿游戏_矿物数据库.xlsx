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矿物图鉴" sheetId="2" state="visible" r:id="rId4"/>
    <sheet name="稀有度固定概率设置" sheetId="3" state="visible" r:id="rId5"/>
    <sheet name="地形刷新表" sheetId="4" state="visible" r:id="rId6"/>
    <sheet name="地形经济测算" sheetId="5" state="visible" r:id="rId7"/>
    <sheet name="地形解锁顺序" sheetId="6" state="visible" r:id="rId8"/>
  </sheets>
  <definedNames>
    <definedName function="false" hidden="true" localSheetId="3" name="_xlnm._FilterDatabase" vbProcedure="false">地形刷新表!$A$1:$I$111</definedName>
    <definedName function="false" hidden="true" localSheetId="4" name="_xlnm._FilterDatabase" vbProcedure="false">地形经济测算!$A$1:$H$9</definedName>
    <definedName function="false" hidden="true" localSheetId="5" name="_xlnm._FilterDatabase" vbProcedure="false">地形解锁顺序!$A$1:$E$9</definedName>
    <definedName function="false" hidden="true" localSheetId="1" name="_xlnm._FilterDatabase" vbProcedure="false">矿物图鉴!$A$1:$F$104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<sst xmlns="http://schemas.openxmlformats.org/spreadsheetml/2006/main" count="909" uniqueCount="307">
  <si>
    <r>
      <rPr>
        <b val="true"/>
        <sz val="16"/>
        <color rgb="FF2F5496"/>
        <rFont val="Noto Sans CJK SC"/>
        <family val="2"/>
      </rPr>
      <t xml:space="preserve">挖矿游戏 </t>
    </r>
    <r>
      <rPr>
        <b val="true"/>
        <sz val="16"/>
        <color rgb="FF2F5496"/>
        <rFont val="Arial"/>
        <family val="0"/>
        <charset val="1"/>
      </rPr>
      <t xml:space="preserve">· </t>
    </r>
    <r>
      <rPr>
        <b val="true"/>
        <sz val="16"/>
        <color rgb="FF2F5496"/>
        <rFont val="Noto Sans CJK SC"/>
        <family val="2"/>
      </rPr>
      <t xml:space="preserve">矿物数据库</t>
    </r>
  </si>
  <si>
    <r>
      <rPr>
        <i val="true"/>
        <sz val="11"/>
        <color rgb="FF595959"/>
        <rFont val="Noto Sans CJK SC"/>
        <family val="2"/>
      </rPr>
      <t xml:space="preserve">工业矿物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常见宝石矿物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化石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珍稀晶体矿物 —— 每个地形都有一个占 </t>
    </r>
    <r>
      <rPr>
        <i val="true"/>
        <sz val="11"/>
        <color rgb="FF595959"/>
        <rFont val="Arial"/>
        <family val="0"/>
        <charset val="1"/>
      </rPr>
      <t xml:space="preserve">50% </t>
    </r>
    <r>
      <rPr>
        <i val="true"/>
        <sz val="11"/>
        <color rgb="FF595959"/>
        <rFont val="Noto Sans CJK SC"/>
        <family val="2"/>
      </rPr>
      <t xml:space="preserve">概率的基底废料矿，稀有度越高概率越低</t>
    </r>
  </si>
  <si>
    <t xml:space="preserve">【核心概率模型（类黄金矿工）】</t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</si>
  <si>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每个地形固定一种「基底矿」（石头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沙子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碎石之类），单独占 </t>
    </r>
    <r>
      <rPr>
        <sz val="10.5"/>
        <rFont val="Arial"/>
        <family val="0"/>
        <charset val="1"/>
      </rPr>
      <t xml:space="preserve">50% </t>
    </r>
    <r>
      <rPr>
        <sz val="10.5"/>
        <rFont val="Noto Sans CJK SC"/>
        <family val="2"/>
      </rPr>
      <t xml:space="preserve">的产出概率——对应黄金矿工里满屏幕的石头，量大但相对不值钱。基底矿的售价随地形解锁顺序递增（平原</t>
    </r>
    <r>
      <rPr>
        <sz val="10.5"/>
        <rFont val="Arial"/>
        <family val="0"/>
        <charset val="1"/>
      </rPr>
      <t xml:space="preserve">3</t>
    </r>
    <r>
      <rPr>
        <sz val="10.5"/>
        <rFont val="Noto Sans CJK SC"/>
        <family val="2"/>
      </rPr>
      <t xml:space="preserve">金 → 深层洞穴</t>
    </r>
    <r>
      <rPr>
        <sz val="10.5"/>
        <rFont val="Arial"/>
        <family val="0"/>
        <charset val="1"/>
      </rPr>
      <t xml:space="preserve">50</t>
    </r>
    <r>
      <rPr>
        <sz val="10.5"/>
        <rFont val="Noto Sans CJK SC"/>
        <family val="2"/>
      </rPr>
      <t xml:space="preserve">金），门票越贵的地形，连最常见的废料也更值钱一点，避免高门槛地形的收益完全靠稀有矿物撑起来。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</si>
  <si>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剩下 </t>
    </r>
    <r>
      <rPr>
        <sz val="10.5"/>
        <rFont val="Arial"/>
        <family val="0"/>
        <charset val="1"/>
      </rPr>
      <t xml:space="preserve">50% </t>
    </r>
    <r>
      <rPr>
        <sz val="10.5"/>
        <rFont val="Noto Sans CJK SC"/>
        <family val="2"/>
      </rPr>
      <t xml:space="preserve">按稀有度分配，单个矿物的概率是固定值：传说 </t>
    </r>
    <r>
      <rPr>
        <sz val="10.5"/>
        <rFont val="Arial"/>
        <family val="0"/>
        <charset val="1"/>
      </rPr>
      <t xml:space="preserve">0.1%</t>
    </r>
    <r>
      <rPr>
        <sz val="10.5"/>
        <rFont val="Noto Sans CJK SC"/>
        <family val="2"/>
      </rPr>
      <t xml:space="preserve">、史诗 </t>
    </r>
    <r>
      <rPr>
        <sz val="10.5"/>
        <rFont val="Arial"/>
        <family val="0"/>
        <charset val="1"/>
      </rPr>
      <t xml:space="preserve">0.5%</t>
    </r>
    <r>
      <rPr>
        <sz val="10.5"/>
        <rFont val="Noto Sans CJK SC"/>
        <family val="2"/>
      </rPr>
      <t xml:space="preserve">、稀有 </t>
    </r>
    <r>
      <rPr>
        <sz val="10.5"/>
        <rFont val="Arial"/>
        <family val="0"/>
        <charset val="1"/>
      </rPr>
      <t xml:space="preserve">2%</t>
    </r>
    <r>
      <rPr>
        <sz val="10.5"/>
        <rFont val="Noto Sans CJK SC"/>
        <family val="2"/>
      </rPr>
      <t xml:space="preserve">、少见 </t>
    </r>
    <r>
      <rPr>
        <sz val="10.5"/>
        <rFont val="Arial"/>
        <family val="0"/>
        <charset val="1"/>
      </rPr>
      <t xml:space="preserve">6%</t>
    </r>
    <r>
      <rPr>
        <sz val="10.5"/>
        <rFont val="Noto Sans CJK SC"/>
        <family val="2"/>
      </rPr>
      <t xml:space="preserve">。同一地形里稀有度相同的矿物概率完全一样。普通矿物（不含基底矿）平分剩余的概率份额。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</si>
  <si>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这些固定值在「稀有度固定概率设置」表里，改那 </t>
    </r>
    <r>
      <rPr>
        <sz val="10.5"/>
        <rFont val="Arial"/>
        <family val="0"/>
        <charset val="1"/>
      </rPr>
      <t xml:space="preserve">4 </t>
    </r>
    <r>
      <rPr>
        <sz val="10.5"/>
        <rFont val="Noto Sans CJK SC"/>
        <family val="2"/>
      </rPr>
      <t xml:space="preserve">个数字，全部地形自动重新计算，且每个地形合计仍是 </t>
    </r>
    <r>
      <rPr>
        <sz val="10.5"/>
        <rFont val="Arial"/>
        <family val="0"/>
        <charset val="1"/>
      </rPr>
      <t xml:space="preserve">100%</t>
    </r>
    <r>
      <rPr>
        <sz val="10.5"/>
        <rFont val="Noto Sans CJK SC"/>
        <family val="2"/>
      </rPr>
      <t xml:space="preserve">。</t>
    </r>
  </si>
  <si>
    <t xml:space="preserve">【矿物分类说明】</t>
  </si>
  <si>
    <r>
      <rPr>
        <sz val="10.5"/>
        <rFont val="Noto Sans CJK SC"/>
        <family val="2"/>
      </rPr>
      <t xml:space="preserve">四大分类：工业矿物 </t>
    </r>
    <r>
      <rPr>
        <sz val="10.5"/>
        <rFont val="Arial"/>
        <family val="0"/>
        <charset val="1"/>
      </rPr>
      <t xml:space="preserve">/ </t>
    </r>
    <r>
      <rPr>
        <sz val="10.5"/>
        <rFont val="Noto Sans CJK SC"/>
        <family val="2"/>
      </rPr>
      <t xml:space="preserve">常见宝石矿物 </t>
    </r>
    <r>
      <rPr>
        <sz val="10.5"/>
        <rFont val="Arial"/>
        <family val="0"/>
        <charset val="1"/>
      </rPr>
      <t xml:space="preserve">/ </t>
    </r>
    <r>
      <rPr>
        <sz val="10.5"/>
        <rFont val="Noto Sans CJK SC"/>
        <family val="2"/>
      </rPr>
      <t xml:space="preserve">珍稀晶体矿物 </t>
    </r>
    <r>
      <rPr>
        <sz val="10.5"/>
        <rFont val="Arial"/>
        <family val="0"/>
        <charset val="1"/>
      </rPr>
      <t xml:space="preserve">/ </t>
    </r>
    <r>
      <rPr>
        <sz val="10.5"/>
        <rFont val="Noto Sans CJK SC"/>
        <family val="2"/>
      </rPr>
      <t xml:space="preserve">化石。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</si>
  <si>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工业矿物：矿石、燃料、建材等生产资料，包括各地形的基底废料矿。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</si>
  <si>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常见宝石矿物：普通人在珠宝店、纪念品店就能见到、认知度较高的宝石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观赏石（钻石、红蓝宝石、祖母绿、翡翠、和田玉、各类水晶等）。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</si>
  <si>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珍稀晶体矿物：矿物收藏圈才熟悉的稀有品种，普通人基本没听说过，多为特定产地、特定成因的稀有矿物（磷叶石、辰砂、蓝锥矿、南极石等），适合做地形里的顶级稀有掉落。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</si>
  <si>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化石：生物遗骸的矿化产物。</t>
    </r>
  </si>
  <si>
    <t xml:space="preserve">【化学式说明】</t>
  </si>
  <si>
    <t xml:space="preserve">矿物图鉴新增了「化学式」列。写不出来的矿物大致分三类：</t>
  </si>
  <si>
    <r>
      <rPr>
        <sz val="10.5"/>
        <rFont val="Noto Sans CJK SC"/>
        <family val="2"/>
      </rPr>
      <t xml:space="preserve">① 岩石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矿石统称：本身是多种矿物的混合体，没有单一物质（如铁矿石、花岗岩、青金石）。</t>
    </r>
  </si>
  <si>
    <t xml:space="preserve">② 有机质：生物成因，成分是复杂有机物混合（如煤、琥珀、泥煤）。</t>
  </si>
  <si>
    <r>
      <rPr>
        <sz val="10.5"/>
        <rFont val="Noto Sans CJK SC"/>
        <family val="2"/>
      </rPr>
      <t xml:space="preserve">③ 化石：生物遗骸矿化产物，成分随埋藏环境变化（全部</t>
    </r>
    <r>
      <rPr>
        <sz val="10.5"/>
        <rFont val="Arial"/>
        <family val="0"/>
        <charset val="1"/>
      </rPr>
      <t xml:space="preserve">14</t>
    </r>
    <r>
      <rPr>
        <sz val="10.5"/>
        <rFont val="Noto Sans CJK SC"/>
        <family val="2"/>
      </rPr>
      <t xml:space="preserve">种化石）。</t>
    </r>
  </si>
  <si>
    <r>
      <rPr>
        <sz val="10.5"/>
        <rFont val="Noto Sans CJK SC"/>
        <family val="2"/>
      </rPr>
      <t xml:space="preserve">写不出单一化学式的矿物，「化学式」列留空，原因写在「备注」列里；能写但只有矿物族通式的（如石榴石、云母），化学式列会标注「（通式）」。全部</t>
    </r>
    <r>
      <rPr>
        <sz val="10.5"/>
        <rFont val="Arial"/>
        <family val="0"/>
        <charset val="1"/>
      </rPr>
      <t xml:space="preserve">103</t>
    </r>
    <r>
      <rPr>
        <sz val="10.5"/>
        <rFont val="Noto Sans CJK SC"/>
        <family val="2"/>
      </rPr>
      <t xml:space="preserve">种矿物都对应真实的矿物学名称或岩石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有机质类别，没有虚构成分。</t>
    </r>
  </si>
  <si>
    <t xml:space="preserve">【工作表说明】</t>
  </si>
  <si>
    <r>
      <rPr>
        <sz val="10.5"/>
        <rFont val="Arial"/>
        <family val="0"/>
        <charset val="1"/>
      </rPr>
      <t xml:space="preserve">1. </t>
    </r>
    <r>
      <rPr>
        <sz val="10.5"/>
        <rFont val="Noto Sans CJK SC"/>
        <family val="2"/>
      </rPr>
      <t xml:space="preserve">矿物图鉴：所有矿物的基础数据——分类、稀有度、化学式、基础售价（金币）、备注。</t>
    </r>
  </si>
  <si>
    <r>
      <rPr>
        <sz val="10.5"/>
        <rFont val="Arial"/>
        <family val="0"/>
        <charset val="1"/>
      </rPr>
      <t xml:space="preserve">2. </t>
    </r>
    <r>
      <rPr>
        <sz val="10.5"/>
        <rFont val="Noto Sans CJK SC"/>
        <family val="2"/>
      </rPr>
      <t xml:space="preserve">稀有度固定概率设置：传说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史诗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稀有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少见的固定出现概率，以及基底矿概率、每次入场挖掘次数、目标利润系数。</t>
    </r>
  </si>
  <si>
    <r>
      <rPr>
        <sz val="10.5"/>
        <rFont val="Arial"/>
        <family val="0"/>
        <charset val="1"/>
      </rPr>
      <t xml:space="preserve">3. </t>
    </r>
    <r>
      <rPr>
        <sz val="10.5"/>
        <rFont val="Noto Sans CJK SC"/>
        <family val="2"/>
      </rPr>
      <t xml:space="preserve">地形刷新表：矿物</t>
    </r>
    <r>
      <rPr>
        <sz val="10.5"/>
        <rFont val="Arial"/>
        <family val="0"/>
        <charset val="1"/>
      </rPr>
      <t xml:space="preserve">-</t>
    </r>
    <r>
      <rPr>
        <sz val="10.5"/>
        <rFont val="Noto Sans CJK SC"/>
        <family val="2"/>
      </rPr>
      <t xml:space="preserve">地形对应关系；概率、期望产出贡献都是公式算的。</t>
    </r>
  </si>
  <si>
    <r>
      <rPr>
        <sz val="10.5"/>
        <rFont val="Arial"/>
        <family val="0"/>
        <charset val="1"/>
      </rPr>
      <t xml:space="preserve">4. </t>
    </r>
    <r>
      <rPr>
        <sz val="10.5"/>
        <rFont val="Noto Sans CJK SC"/>
        <family val="2"/>
      </rPr>
      <t xml:space="preserve">地形经济测算：单次挖掘期望产出、期望总产出、建议门票价、预期净利润——用来验证「努力挖能小赚」。</t>
    </r>
  </si>
  <si>
    <r>
      <rPr>
        <sz val="10.5"/>
        <rFont val="Arial"/>
        <family val="0"/>
        <charset val="1"/>
      </rPr>
      <t xml:space="preserve">5. </t>
    </r>
    <r>
      <rPr>
        <sz val="10.5"/>
        <rFont val="Noto Sans CJK SC"/>
        <family val="2"/>
      </rPr>
      <t xml:space="preserve">地形解锁顺序：解锁顺序、解锁门槛（累计已发现矿物种类数）、该地形矿物种类数。解锁不收费，只看探索进度；单次入场费只在「地形经济测算」表里维护一份，这里不重复。</t>
    </r>
  </si>
  <si>
    <t xml:space="preserve">【如何编辑】</t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</si>
  <si>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黄色底色单元格＝建议按需调整的数值；粉色底色＝该地形的基底矿行。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</si>
  <si>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想让某地形挖到更多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更少稀有矿：直接在地形刷新表里加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删对应矿物名称的行即可，概率会自动重新平衡。</t>
    </r>
  </si>
  <si>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同一个矿物可以出现在多个地形里（比如石英砂同时是沙漠的基底矿、山地的常见矿），价格在矿物图鉴里只有一份、全局统一，不会因为出现在哪个地形而不同，只有出现概率会按地形分别计算。</t>
    </r>
  </si>
  <si>
    <t xml:space="preserve">矿物名称</t>
  </si>
  <si>
    <t xml:space="preserve">分类</t>
  </si>
  <si>
    <t xml:space="preserve">稀有度</t>
  </si>
  <si>
    <t xml:space="preserve">化学式</t>
  </si>
  <si>
    <t xml:space="preserve">基础售价（金币）</t>
  </si>
  <si>
    <r>
      <rPr>
        <b val="true"/>
        <sz val="11"/>
        <color rgb="FFFFFFFF"/>
        <rFont val="Noto Sans CJK SC"/>
        <family val="2"/>
      </rPr>
      <t xml:space="preserve">备注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特殊机制</t>
    </r>
  </si>
  <si>
    <t xml:space="preserve">铁矿石</t>
  </si>
  <si>
    <t xml:space="preserve">工业矿物</t>
  </si>
  <si>
    <t xml:space="preserve">普通</t>
  </si>
  <si>
    <t xml:space="preserve">—</t>
  </si>
  <si>
    <r>
      <rPr>
        <sz val="10.5"/>
        <rFont val="Noto Sans CJK SC"/>
        <family val="2"/>
      </rPr>
      <t xml:space="preserve">岩石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矿石统称，无单一矿物</t>
    </r>
  </si>
  <si>
    <t xml:space="preserve">铜矿石</t>
  </si>
  <si>
    <t xml:space="preserve">铝土矿</t>
  </si>
  <si>
    <t xml:space="preserve">多种氢氧化铝矿物混合岩石</t>
  </si>
  <si>
    <t xml:space="preserve">锡石</t>
  </si>
  <si>
    <t xml:space="preserve">少见</t>
  </si>
  <si>
    <t xml:space="preserve">SnO₂</t>
  </si>
  <si>
    <t xml:space="preserve">方铅矿</t>
  </si>
  <si>
    <t xml:space="preserve">PbS</t>
  </si>
  <si>
    <t xml:space="preserve">闪锌矿</t>
  </si>
  <si>
    <t xml:space="preserve">ZnS</t>
  </si>
  <si>
    <t xml:space="preserve">辉钼矿</t>
  </si>
  <si>
    <t xml:space="preserve">MoS₂</t>
  </si>
  <si>
    <t xml:space="preserve">镍矿</t>
  </si>
  <si>
    <t xml:space="preserve">钨矿</t>
  </si>
  <si>
    <t xml:space="preserve">稀有</t>
  </si>
  <si>
    <r>
      <rPr>
        <sz val="10.5"/>
        <rFont val="Noto Sans CJK SC"/>
        <family val="2"/>
      </rPr>
      <t xml:space="preserve">黑钨矿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白钨矿等统称，无单一矿物</t>
    </r>
  </si>
  <si>
    <t xml:space="preserve">金矿脉</t>
  </si>
  <si>
    <t xml:space="preserve">自然金与围岩混合，无单一化学式</t>
  </si>
  <si>
    <t xml:space="preserve">银矿脉</t>
  </si>
  <si>
    <t xml:space="preserve">自然银与围岩混合，无单一化学式</t>
  </si>
  <si>
    <t xml:space="preserve">铬铁矿</t>
  </si>
  <si>
    <t xml:space="preserve">FeCr₂O₄</t>
  </si>
  <si>
    <t xml:space="preserve">锰矿</t>
  </si>
  <si>
    <t xml:space="preserve">多种锰氧化物矿石统称，无单一矿物</t>
  </si>
  <si>
    <t xml:space="preserve">煤</t>
  </si>
  <si>
    <t xml:space="preserve">有机质（植物遗骸炭化），无固定化学式</t>
  </si>
  <si>
    <t xml:space="preserve">褐煤</t>
  </si>
  <si>
    <t xml:space="preserve">有机质，无固定化学式</t>
  </si>
  <si>
    <t xml:space="preserve">石油沥青</t>
  </si>
  <si>
    <t xml:space="preserve">有机质混合物，无固定化学式</t>
  </si>
  <si>
    <t xml:space="preserve">油页岩</t>
  </si>
  <si>
    <t xml:space="preserve">有机质与岩石混合物，无固定化学式</t>
  </si>
  <si>
    <t xml:space="preserve">铀矿</t>
  </si>
  <si>
    <r>
      <rPr>
        <sz val="10.5"/>
        <rFont val="Noto Sans CJK SC"/>
        <family val="2"/>
      </rPr>
      <t xml:space="preserve">采集需特殊防护装备；沥青铀矿等统称，主要成分</t>
    </r>
    <r>
      <rPr>
        <sz val="10.5"/>
        <rFont val="Arial"/>
        <family val="0"/>
        <charset val="1"/>
      </rPr>
      <t xml:space="preserve">UO₂</t>
    </r>
  </si>
  <si>
    <t xml:space="preserve">石灰石</t>
  </si>
  <si>
    <r>
      <rPr>
        <sz val="10.5"/>
        <rFont val="Noto Sans CJK SC"/>
        <family val="2"/>
      </rPr>
      <t xml:space="preserve">地形基底矿：平原（第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档，最低价）；岩石，主要成分</t>
    </r>
    <r>
      <rPr>
        <sz val="10.5"/>
        <rFont val="Arial"/>
        <family val="0"/>
        <charset val="1"/>
      </rPr>
      <t xml:space="preserve">CaCO₃</t>
    </r>
  </si>
  <si>
    <t xml:space="preserve">石膏</t>
  </si>
  <si>
    <t xml:space="preserve">CaSO₄·2H₂O</t>
  </si>
  <si>
    <t xml:space="preserve">花岗岩</t>
  </si>
  <si>
    <r>
      <rPr>
        <sz val="10.5"/>
        <rFont val="Noto Sans CJK SC"/>
        <family val="2"/>
      </rPr>
      <t xml:space="preserve">地形基底矿：山地（第</t>
    </r>
    <r>
      <rPr>
        <sz val="10.5"/>
        <rFont val="Arial"/>
        <family val="0"/>
        <charset val="1"/>
      </rPr>
      <t xml:space="preserve">3</t>
    </r>
    <r>
      <rPr>
        <sz val="10.5"/>
        <rFont val="Noto Sans CJK SC"/>
        <family val="2"/>
      </rPr>
      <t xml:space="preserve">档）；石英</t>
    </r>
    <r>
      <rPr>
        <sz val="10.5"/>
        <rFont val="Arial"/>
        <family val="0"/>
        <charset val="1"/>
      </rPr>
      <t xml:space="preserve">+</t>
    </r>
    <r>
      <rPr>
        <sz val="10.5"/>
        <rFont val="Noto Sans CJK SC"/>
        <family val="2"/>
      </rPr>
      <t xml:space="preserve">长石</t>
    </r>
    <r>
      <rPr>
        <sz val="10.5"/>
        <rFont val="Arial"/>
        <family val="0"/>
        <charset val="1"/>
      </rPr>
      <t xml:space="preserve">+</t>
    </r>
    <r>
      <rPr>
        <sz val="10.5"/>
        <rFont val="Noto Sans CJK SC"/>
        <family val="2"/>
      </rPr>
      <t xml:space="preserve">云母等矿物混合岩石</t>
    </r>
  </si>
  <si>
    <t xml:space="preserve">大理岩</t>
  </si>
  <si>
    <r>
      <rPr>
        <sz val="10.5"/>
        <rFont val="Noto Sans CJK SC"/>
        <family val="2"/>
      </rPr>
      <t xml:space="preserve">地形基底矿：海底（第</t>
    </r>
    <r>
      <rPr>
        <sz val="10.5"/>
        <rFont val="Arial"/>
        <family val="0"/>
        <charset val="1"/>
      </rPr>
      <t xml:space="preserve">5</t>
    </r>
    <r>
      <rPr>
        <sz val="10.5"/>
        <rFont val="Noto Sans CJK SC"/>
        <family val="2"/>
      </rPr>
      <t xml:space="preserve">档）；变质石灰岩，主要成分</t>
    </r>
    <r>
      <rPr>
        <sz val="10.5"/>
        <rFont val="Arial"/>
        <family val="0"/>
        <charset val="1"/>
      </rPr>
      <t xml:space="preserve">CaCO₃</t>
    </r>
  </si>
  <si>
    <t xml:space="preserve">石英砂</t>
  </si>
  <si>
    <t xml:space="preserve">SiO₂</t>
  </si>
  <si>
    <r>
      <rPr>
        <sz val="10.5"/>
        <rFont val="Noto Sans CJK SC"/>
        <family val="2"/>
      </rPr>
      <t xml:space="preserve">地形基底矿：沙漠（第</t>
    </r>
    <r>
      <rPr>
        <sz val="10.5"/>
        <rFont val="Arial"/>
        <family val="0"/>
        <charset val="1"/>
      </rPr>
      <t xml:space="preserve">4</t>
    </r>
    <r>
      <rPr>
        <sz val="10.5"/>
        <rFont val="Noto Sans CJK SC"/>
        <family val="2"/>
      </rPr>
      <t xml:space="preserve">档），同时也是山地的常见矿，两边统一定价</t>
    </r>
  </si>
  <si>
    <t xml:space="preserve">高岭土</t>
  </si>
  <si>
    <t xml:space="preserve">Al₂Si₂O₅(OH)₄</t>
  </si>
  <si>
    <t xml:space="preserve">萤石</t>
  </si>
  <si>
    <t xml:space="preserve">CaF₂</t>
  </si>
  <si>
    <t xml:space="preserve">重晶石</t>
  </si>
  <si>
    <t xml:space="preserve">BaSO₄</t>
  </si>
  <si>
    <t xml:space="preserve">磷灰石</t>
  </si>
  <si>
    <t xml:space="preserve">Ca₅(PO₄)₃(F,Cl,OH)</t>
  </si>
  <si>
    <t xml:space="preserve">硫磺</t>
  </si>
  <si>
    <t xml:space="preserve">S</t>
  </si>
  <si>
    <t xml:space="preserve">岩盐</t>
  </si>
  <si>
    <t xml:space="preserve">NaCl</t>
  </si>
  <si>
    <t xml:space="preserve">石棉</t>
  </si>
  <si>
    <t xml:space="preserve">采集需防护装备；矿物族统称（常见为温石棉），无单一化学式</t>
  </si>
  <si>
    <t xml:space="preserve">云母</t>
  </si>
  <si>
    <r>
      <rPr>
        <sz val="10.5"/>
        <rFont val="Noto Sans CJK SC"/>
        <family val="2"/>
      </rPr>
      <t xml:space="preserve">矿物族统称（白云母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黑云母等），无单一化学式</t>
    </r>
  </si>
  <si>
    <t xml:space="preserve">滑石</t>
  </si>
  <si>
    <t xml:space="preserve">Mg₃Si₄O₁₀(OH)₂</t>
  </si>
  <si>
    <t xml:space="preserve">硼砂</t>
  </si>
  <si>
    <t xml:space="preserve">Na₂B₄O₇·10H₂O</t>
  </si>
  <si>
    <t xml:space="preserve">黑曜岩</t>
  </si>
  <si>
    <t xml:space="preserve">火山玻璃，非结晶矿物，无固定化学式</t>
  </si>
  <si>
    <t xml:space="preserve">泥煤</t>
  </si>
  <si>
    <r>
      <rPr>
        <sz val="10.5"/>
        <rFont val="Noto Sans CJK SC"/>
        <family val="2"/>
      </rPr>
      <t xml:space="preserve">地形基底矿：沼泽（第</t>
    </r>
    <r>
      <rPr>
        <sz val="10.5"/>
        <rFont val="Arial"/>
        <family val="0"/>
        <charset val="1"/>
      </rPr>
      <t xml:space="preserve">2</t>
    </r>
    <r>
      <rPr>
        <sz val="10.5"/>
        <rFont val="Noto Sans CJK SC"/>
        <family val="2"/>
      </rPr>
      <t xml:space="preserve">档）；有机质，无固定化学式</t>
    </r>
  </si>
  <si>
    <t xml:space="preserve">褐铁矿</t>
  </si>
  <si>
    <t xml:space="preserve">FeO(OH)·nH₂O</t>
  </si>
  <si>
    <t xml:space="preserve">冰</t>
  </si>
  <si>
    <t xml:space="preserve">H₂O</t>
  </si>
  <si>
    <r>
      <rPr>
        <sz val="10.5"/>
        <rFont val="Noto Sans CJK SC"/>
        <family val="2"/>
      </rPr>
      <t xml:space="preserve">地形基底矿：极地（第</t>
    </r>
    <r>
      <rPr>
        <sz val="10.5"/>
        <rFont val="Arial"/>
        <family val="0"/>
        <charset val="1"/>
      </rPr>
      <t xml:space="preserve">6</t>
    </r>
    <r>
      <rPr>
        <sz val="10.5"/>
        <rFont val="Noto Sans CJK SC"/>
        <family val="2"/>
      </rPr>
      <t xml:space="preserve">档）；天然、无机、结晶、成分固定，是矿物学承认的正式矿物</t>
    </r>
  </si>
  <si>
    <t xml:space="preserve">火山岩渣</t>
  </si>
  <si>
    <r>
      <rPr>
        <sz val="10.5"/>
        <rFont val="Noto Sans CJK SC"/>
        <family val="2"/>
      </rPr>
      <t xml:space="preserve">地形基底矿：火山（第</t>
    </r>
    <r>
      <rPr>
        <sz val="10.5"/>
        <rFont val="Arial"/>
        <family val="0"/>
        <charset val="1"/>
      </rPr>
      <t xml:space="preserve">7</t>
    </r>
    <r>
      <rPr>
        <sz val="10.5"/>
        <rFont val="Noto Sans CJK SC"/>
        <family val="2"/>
      </rPr>
      <t xml:space="preserve">档）；多孔玄武质火山岩，无固定化学式</t>
    </r>
  </si>
  <si>
    <t xml:space="preserve">脉石</t>
  </si>
  <si>
    <r>
      <rPr>
        <sz val="10.5"/>
        <rFont val="Noto Sans CJK SC"/>
        <family val="2"/>
      </rPr>
      <t xml:space="preserve">地形基底矿：深层洞穴（第</t>
    </r>
    <r>
      <rPr>
        <sz val="10.5"/>
        <rFont val="Arial"/>
        <family val="0"/>
        <charset val="1"/>
      </rPr>
      <t xml:space="preserve">8</t>
    </r>
    <r>
      <rPr>
        <sz val="10.5"/>
        <rFont val="Noto Sans CJK SC"/>
        <family val="2"/>
      </rPr>
      <t xml:space="preserve">档，终局地形，连基底都值钱）；矿脉里包裹矿石的无价值围岩，真实矿业术语，成分常为脉石英或方解石，无单一化学式</t>
    </r>
  </si>
  <si>
    <t xml:space="preserve">钻石</t>
  </si>
  <si>
    <t xml:space="preserve">常见宝石矿物</t>
  </si>
  <si>
    <t xml:space="preserve">传说</t>
  </si>
  <si>
    <t xml:space="preserve">C</t>
  </si>
  <si>
    <t xml:space="preserve">现实中主要产自金伯利岩筒（火山成因），设为火山区顶级稀有产出</t>
  </si>
  <si>
    <t xml:space="preserve">红宝石</t>
  </si>
  <si>
    <t xml:space="preserve">史诗</t>
  </si>
  <si>
    <t xml:space="preserve">Al₂O₃</t>
  </si>
  <si>
    <r>
      <rPr>
        <sz val="10.5"/>
        <rFont val="Noto Sans CJK SC"/>
        <family val="2"/>
      </rPr>
      <t xml:space="preserve">刚玉，</t>
    </r>
    <r>
      <rPr>
        <sz val="10.5"/>
        <rFont val="Arial"/>
        <family val="0"/>
        <charset val="1"/>
      </rPr>
      <t xml:space="preserve">Cr</t>
    </r>
    <r>
      <rPr>
        <sz val="10.5"/>
        <rFont val="Noto Sans CJK SC"/>
        <family val="2"/>
      </rPr>
      <t xml:space="preserve">致色</t>
    </r>
  </si>
  <si>
    <t xml:space="preserve">蓝宝石</t>
  </si>
  <si>
    <r>
      <rPr>
        <sz val="10.5"/>
        <rFont val="Noto Sans CJK SC"/>
        <family val="2"/>
      </rPr>
      <t xml:space="preserve">刚玉，</t>
    </r>
    <r>
      <rPr>
        <sz val="10.5"/>
        <rFont val="Arial"/>
        <family val="0"/>
        <charset val="1"/>
      </rPr>
      <t xml:space="preserve">Fe/Ti</t>
    </r>
    <r>
      <rPr>
        <sz val="10.5"/>
        <rFont val="Noto Sans CJK SC"/>
        <family val="2"/>
      </rPr>
      <t xml:space="preserve">致色</t>
    </r>
  </si>
  <si>
    <t xml:space="preserve">祖母绿</t>
  </si>
  <si>
    <t xml:space="preserve">Be₃Al₂(SiO₃)₆</t>
  </si>
  <si>
    <r>
      <rPr>
        <sz val="10.5"/>
        <rFont val="Noto Sans CJK SC"/>
        <family val="2"/>
      </rPr>
      <t xml:space="preserve">绿柱石，</t>
    </r>
    <r>
      <rPr>
        <sz val="10.5"/>
        <rFont val="Arial"/>
        <family val="0"/>
        <charset val="1"/>
      </rPr>
      <t xml:space="preserve">Cr</t>
    </r>
    <r>
      <rPr>
        <sz val="10.5"/>
        <rFont val="Noto Sans CJK SC"/>
        <family val="2"/>
      </rPr>
      <t xml:space="preserve">致色</t>
    </r>
  </si>
  <si>
    <t xml:space="preserve">金绿宝石（猫眼石）</t>
  </si>
  <si>
    <t xml:space="preserve">BeAl₂O₄</t>
  </si>
  <si>
    <t xml:space="preserve">多产自冲积砂矿，设为沼泽湿地稀有产出</t>
  </si>
  <si>
    <t xml:space="preserve">碧玺</t>
  </si>
  <si>
    <r>
      <rPr>
        <sz val="10.5"/>
        <rFont val="Arial"/>
        <family val="0"/>
        <charset val="1"/>
      </rPr>
      <t xml:space="preserve">NaFe₃Al₆(BO₃)₃Si₆O₁₈(OH)₄</t>
    </r>
    <r>
      <rPr>
        <sz val="10.5"/>
        <rFont val="Noto Sans CJK SC"/>
        <family val="2"/>
      </rPr>
      <t xml:space="preserve">（通式）</t>
    </r>
  </si>
  <si>
    <t xml:space="preserve">电气石族，成分变化大，只有通式</t>
  </si>
  <si>
    <t xml:space="preserve">坦桑石</t>
  </si>
  <si>
    <t xml:space="preserve">Ca₂Al₃(SiO₄)(Si₂O₇)O(OH)</t>
  </si>
  <si>
    <t xml:space="preserve">黝帘石的蓝色变种</t>
  </si>
  <si>
    <t xml:space="preserve">尖晶石</t>
  </si>
  <si>
    <t xml:space="preserve">MgAl₂O₄</t>
  </si>
  <si>
    <t xml:space="preserve">石榴石</t>
  </si>
  <si>
    <r>
      <rPr>
        <sz val="10.5"/>
        <rFont val="Arial"/>
        <family val="0"/>
        <charset val="1"/>
      </rPr>
      <t xml:space="preserve">X₃Y₂(SiO₄)₃</t>
    </r>
    <r>
      <rPr>
        <sz val="10.5"/>
        <rFont val="Noto Sans CJK SC"/>
        <family val="2"/>
      </rPr>
      <t xml:space="preserve">（通式）</t>
    </r>
  </si>
  <si>
    <t xml:space="preserve">矿物族统称，只有通式</t>
  </si>
  <si>
    <t xml:space="preserve">托帕石</t>
  </si>
  <si>
    <t xml:space="preserve">Al₂SiO₄(F,OH)₂</t>
  </si>
  <si>
    <t xml:space="preserve">橄榄石</t>
  </si>
  <si>
    <t xml:space="preserve">(Mg,Fe)₂SiO₄</t>
  </si>
  <si>
    <t xml:space="preserve">海蓝宝石</t>
  </si>
  <si>
    <t xml:space="preserve">绿柱石的蓝色变种</t>
  </si>
  <si>
    <t xml:space="preserve">摩根石</t>
  </si>
  <si>
    <t xml:space="preserve">绿柱石的粉色变种（含锰）</t>
  </si>
  <si>
    <t xml:space="preserve">月光石</t>
  </si>
  <si>
    <t xml:space="preserve">KAlSi₃O₈</t>
  </si>
  <si>
    <t xml:space="preserve">钾长石类</t>
  </si>
  <si>
    <t xml:space="preserve">拉长石</t>
  </si>
  <si>
    <r>
      <rPr>
        <sz val="10.5"/>
        <rFont val="Arial"/>
        <family val="0"/>
        <charset val="1"/>
      </rPr>
      <t xml:space="preserve">(Ca,Na)(Al,Si)₄O₈</t>
    </r>
    <r>
      <rPr>
        <sz val="10.5"/>
        <rFont val="Noto Sans CJK SC"/>
        <family val="2"/>
      </rPr>
      <t xml:space="preserve">（通式）</t>
    </r>
  </si>
  <si>
    <t xml:space="preserve">长石族固溶体，只有通式</t>
  </si>
  <si>
    <t xml:space="preserve">紫水晶</t>
  </si>
  <si>
    <t xml:space="preserve">石英</t>
  </si>
  <si>
    <t xml:space="preserve">烟晶</t>
  </si>
  <si>
    <t xml:space="preserve">白水晶</t>
  </si>
  <si>
    <t xml:space="preserve">黄水晶</t>
  </si>
  <si>
    <t xml:space="preserve">玫瑰石英</t>
  </si>
  <si>
    <t xml:space="preserve">萤石晶簇</t>
  </si>
  <si>
    <t xml:space="preserve">方解石晶体</t>
  </si>
  <si>
    <t xml:space="preserve">CaCO₃</t>
  </si>
  <si>
    <t xml:space="preserve">天青石</t>
  </si>
  <si>
    <t xml:space="preserve">SrSO₄</t>
  </si>
  <si>
    <t xml:space="preserve">蛋白石</t>
  </si>
  <si>
    <t xml:space="preserve">SiO₂·nH₂O</t>
  </si>
  <si>
    <t xml:space="preserve">非晶质含水二氧化硅</t>
  </si>
  <si>
    <t xml:space="preserve">翡翠</t>
  </si>
  <si>
    <t xml:space="preserve">NaAlSi₂O₆</t>
  </si>
  <si>
    <t xml:space="preserve">硬玉，多产自变质岩带，设为深层洞穴稀有产出</t>
  </si>
  <si>
    <t xml:space="preserve">和田玉</t>
  </si>
  <si>
    <t xml:space="preserve">Ca₂(Mg,Fe)₅Si₈O₂₂(OH)₂</t>
  </si>
  <si>
    <t xml:space="preserve">软玉，透闪石为主</t>
  </si>
  <si>
    <t xml:space="preserve">青金石</t>
  </si>
  <si>
    <r>
      <rPr>
        <sz val="10.5"/>
        <rFont val="Noto Sans CJK SC"/>
        <family val="2"/>
      </rPr>
      <t xml:space="preserve">岩石（青金石矿物</t>
    </r>
    <r>
      <rPr>
        <sz val="10.5"/>
        <rFont val="Arial"/>
        <family val="0"/>
        <charset val="1"/>
      </rPr>
      <t xml:space="preserve">+</t>
    </r>
    <r>
      <rPr>
        <sz val="10.5"/>
        <rFont val="Noto Sans CJK SC"/>
        <family val="2"/>
      </rPr>
      <t xml:space="preserve">方解石</t>
    </r>
    <r>
      <rPr>
        <sz val="10.5"/>
        <rFont val="Arial"/>
        <family val="0"/>
        <charset val="1"/>
      </rPr>
      <t xml:space="preserve">+</t>
    </r>
    <r>
      <rPr>
        <sz val="10.5"/>
        <rFont val="Noto Sans CJK SC"/>
        <family val="2"/>
      </rPr>
      <t xml:space="preserve">黄铁矿混合），无单一化学式</t>
    </r>
  </si>
  <si>
    <t xml:space="preserve">绿松石</t>
  </si>
  <si>
    <t xml:space="preserve">CuAl₆(PO₄)₄(OH)₈·4H₂O</t>
  </si>
  <si>
    <t xml:space="preserve">玛瑙</t>
  </si>
  <si>
    <t xml:space="preserve">隐晶质石英</t>
  </si>
  <si>
    <t xml:space="preserve">孔雀石</t>
  </si>
  <si>
    <t xml:space="preserve">Cu₂CO₃(OH)₂</t>
  </si>
  <si>
    <t xml:space="preserve">与铜矿同源，可设计双属性</t>
  </si>
  <si>
    <t xml:space="preserve">虎眼石</t>
  </si>
  <si>
    <t xml:space="preserve">石英交代青石棉纤维</t>
  </si>
  <si>
    <t xml:space="preserve">珍珠母</t>
  </si>
  <si>
    <r>
      <rPr>
        <sz val="10.5"/>
        <rFont val="Noto Sans CJK SC"/>
        <family val="2"/>
      </rPr>
      <t xml:space="preserve">文石</t>
    </r>
    <r>
      <rPr>
        <sz val="10.5"/>
        <rFont val="Arial"/>
        <family val="0"/>
        <charset val="1"/>
      </rPr>
      <t xml:space="preserve">+</t>
    </r>
    <r>
      <rPr>
        <sz val="10.5"/>
        <rFont val="Noto Sans CJK SC"/>
        <family val="2"/>
      </rPr>
      <t xml:space="preserve">有机质的生物矿化复合材料，无单一化学式</t>
    </r>
  </si>
  <si>
    <t xml:space="preserve">冰洲石</t>
  </si>
  <si>
    <t xml:space="preserve">方解石的透明观赏变种，因产自冰岛得名，历史上用于研究光学双折射现象</t>
  </si>
  <si>
    <t xml:space="preserve">三叶虫化石</t>
  </si>
  <si>
    <t xml:space="preserve">化石</t>
  </si>
  <si>
    <t xml:space="preserve">生物遗骸矿化产物，成分随埋藏环境变化，无固定化学式</t>
  </si>
  <si>
    <t xml:space="preserve">菊石化石</t>
  </si>
  <si>
    <t xml:space="preserve">同上，无固定化学式</t>
  </si>
  <si>
    <t xml:space="preserve">恐龙骨骼化石</t>
  </si>
  <si>
    <t xml:space="preserve">恐龙蛋化石</t>
  </si>
  <si>
    <t xml:space="preserve">猛犸象牙化石</t>
  </si>
  <si>
    <r>
      <rPr>
        <sz val="10.5"/>
        <rFont val="Noto Sans CJK SC"/>
        <family val="2"/>
      </rPr>
      <t xml:space="preserve">琥珀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含虫</t>
    </r>
    <r>
      <rPr>
        <sz val="10.5"/>
        <rFont val="Arial"/>
        <family val="0"/>
        <charset val="1"/>
      </rPr>
      <t xml:space="preserve">)</t>
    </r>
  </si>
  <si>
    <t xml:space="preserve">树脂化石，有机质，无固定化学式</t>
  </si>
  <si>
    <t xml:space="preserve">鱼化石</t>
  </si>
  <si>
    <t xml:space="preserve">蕨类植物化石</t>
  </si>
  <si>
    <t xml:space="preserve">贝壳化石</t>
  </si>
  <si>
    <t xml:space="preserve">始祖鸟化石</t>
  </si>
  <si>
    <t xml:space="preserve">剑齿虎化石</t>
  </si>
  <si>
    <t xml:space="preserve">三角龙头骨化石</t>
  </si>
  <si>
    <t xml:space="preserve">珊瑚化石</t>
  </si>
  <si>
    <t xml:space="preserve">硅化木</t>
  </si>
  <si>
    <r>
      <rPr>
        <sz val="10.5"/>
        <rFont val="Arial"/>
        <family val="0"/>
        <charset val="1"/>
      </rPr>
      <t xml:space="preserve">SiO₂</t>
    </r>
    <r>
      <rPr>
        <sz val="10.5"/>
        <rFont val="Noto Sans CJK SC"/>
        <family val="2"/>
      </rPr>
      <t xml:space="preserve">（交代产物）</t>
    </r>
  </si>
  <si>
    <r>
      <rPr>
        <sz val="10.5"/>
        <rFont val="Noto Sans CJK SC"/>
        <family val="2"/>
      </rPr>
      <t xml:space="preserve">木质被二氧化硅交代，主体可视为</t>
    </r>
    <r>
      <rPr>
        <sz val="10.5"/>
        <rFont val="Arial"/>
        <family val="0"/>
        <charset val="1"/>
      </rPr>
      <t xml:space="preserve">SiO₂</t>
    </r>
    <r>
      <rPr>
        <sz val="10.5"/>
        <rFont val="Noto Sans CJK SC"/>
        <family val="2"/>
      </rPr>
      <t xml:space="preserve">但严格不算矿物</t>
    </r>
  </si>
  <si>
    <t xml:space="preserve">磷叶石</t>
  </si>
  <si>
    <t xml:space="preserve">珍稀晶体矿物</t>
  </si>
  <si>
    <t xml:space="preserve">Zn₂(Fe,Mn)(PO₄)₂·4H₂O</t>
  </si>
  <si>
    <t xml:space="preserve">极易碎，采集失败率高</t>
  </si>
  <si>
    <t xml:space="preserve">辰砂</t>
  </si>
  <si>
    <t xml:space="preserve">HgS</t>
  </si>
  <si>
    <t xml:space="preserve">含毒液，需防护装备采集</t>
  </si>
  <si>
    <r>
      <rPr>
        <sz val="10.5"/>
        <rFont val="Noto Sans CJK SC"/>
        <family val="2"/>
      </rPr>
      <t xml:space="preserve">圆粒金刚石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波札</t>
    </r>
    <r>
      <rPr>
        <sz val="10.5"/>
        <rFont val="Arial"/>
        <family val="0"/>
        <charset val="1"/>
      </rPr>
      <t xml:space="preserve">)</t>
    </r>
  </si>
  <si>
    <t xml:space="preserve">黄钻</t>
  </si>
  <si>
    <t xml:space="preserve">含氮致色的钻石变种</t>
  </si>
  <si>
    <t xml:space="preserve">红钻石</t>
  </si>
  <si>
    <t xml:space="preserve">晶格缺陷致色的钻石变种</t>
  </si>
  <si>
    <t xml:space="preserve">金红石</t>
  </si>
  <si>
    <t xml:space="preserve">TiO₂</t>
  </si>
  <si>
    <r>
      <rPr>
        <sz val="10.5"/>
        <rFont val="Noto Sans CJK SC"/>
        <family val="2"/>
      </rPr>
      <t xml:space="preserve">变石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亚历山大变石</t>
    </r>
    <r>
      <rPr>
        <sz val="10.5"/>
        <rFont val="Arial"/>
        <family val="0"/>
        <charset val="1"/>
      </rPr>
      <t xml:space="preserve">)</t>
    </r>
  </si>
  <si>
    <t xml:space="preserve">金绿宝石的变色变种</t>
  </si>
  <si>
    <t xml:space="preserve">蓝锥矿</t>
  </si>
  <si>
    <t xml:space="preserve">BaTiSi₃O₉</t>
  </si>
  <si>
    <t xml:space="preserve">帕德玛刚玉</t>
  </si>
  <si>
    <t xml:space="preserve">刚玉的橙粉色变种</t>
  </si>
  <si>
    <t xml:space="preserve">透绿柱石</t>
  </si>
  <si>
    <t xml:space="preserve">绿柱石的无色变种</t>
  </si>
  <si>
    <t xml:space="preserve">红绿柱石</t>
  </si>
  <si>
    <t xml:space="preserve">绿柱石的红色变种</t>
  </si>
  <si>
    <t xml:space="preserve">金绿柱石</t>
  </si>
  <si>
    <t xml:space="preserve">绿柱石的金黄色变种</t>
  </si>
  <si>
    <t xml:space="preserve">南极石</t>
  </si>
  <si>
    <t xml:space="preserve">CaCl₂·6H₂O</t>
  </si>
  <si>
    <t xml:space="preserve">仅极寒环境生成</t>
  </si>
  <si>
    <t xml:space="preserve">异极矿</t>
  </si>
  <si>
    <t xml:space="preserve">Zn₄Si₂O₇(OH)₂·H₂O</t>
  </si>
  <si>
    <t xml:space="preserve">蓝柱石</t>
  </si>
  <si>
    <t xml:space="preserve">BeAlSiO₄(OH)</t>
  </si>
  <si>
    <t xml:space="preserve">幽灵水晶</t>
  </si>
  <si>
    <t xml:space="preserve">幻影水晶，本质仍是石英</t>
  </si>
  <si>
    <r>
      <rPr>
        <sz val="10.5"/>
        <rFont val="Noto Sans CJK SC"/>
        <family val="2"/>
      </rPr>
      <t xml:space="preserve">黑水晶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墨晶</t>
    </r>
    <r>
      <rPr>
        <sz val="10.5"/>
        <rFont val="Arial"/>
        <family val="0"/>
        <charset val="1"/>
      </rPr>
      <t xml:space="preserve">)</t>
    </r>
  </si>
  <si>
    <t xml:space="preserve">烟晶的深色变种</t>
  </si>
  <si>
    <t xml:space="preserve">档位</t>
  </si>
  <si>
    <t xml:space="preserve">数值（可调）</t>
  </si>
  <si>
    <t xml:space="preserve">说明</t>
  </si>
  <si>
    <t xml:space="preserve">单个传说级矿物的固定出现概率</t>
  </si>
  <si>
    <t xml:space="preserve">单个史诗级矿物的固定出现概率</t>
  </si>
  <si>
    <t xml:space="preserve">单个稀有级矿物的固定出现概率</t>
  </si>
  <si>
    <t xml:space="preserve">单个少见级矿物的固定出现概率</t>
  </si>
  <si>
    <t xml:space="preserve">基底矿</t>
  </si>
  <si>
    <t xml:space="preserve">每个地形固定一种基底矿，占该地形全部产出概率的一半</t>
  </si>
  <si>
    <t xml:space="preserve">每次入场挖掘次数</t>
  </si>
  <si>
    <r>
      <rPr>
        <sz val="10.5"/>
        <rFont val="Noto Sans CJK SC"/>
        <family val="2"/>
      </rPr>
      <t xml:space="preserve">一次入场／一局游戏里生成的矿物总数，默认按 </t>
    </r>
    <r>
      <rPr>
        <sz val="10.5"/>
        <rFont val="Arial"/>
        <family val="0"/>
        <charset val="1"/>
      </rPr>
      <t xml:space="preserve">10~15 </t>
    </r>
    <r>
      <rPr>
        <sz val="10.5"/>
        <rFont val="Noto Sans CJK SC"/>
        <family val="2"/>
      </rPr>
      <t xml:space="preserve">个区间取中间值</t>
    </r>
  </si>
  <si>
    <t xml:space="preserve">目标利润系数</t>
  </si>
  <si>
    <r>
      <rPr>
        <sz val="10.5"/>
        <rFont val="Noto Sans CJK SC"/>
        <family val="2"/>
      </rPr>
      <t xml:space="preserve">建议门票＝期望总产出</t>
    </r>
    <r>
      <rPr>
        <sz val="10.5"/>
        <rFont val="Arial"/>
        <family val="0"/>
        <charset val="1"/>
      </rPr>
      <t xml:space="preserve">×</t>
    </r>
    <r>
      <rPr>
        <sz val="10.5"/>
        <rFont val="Noto Sans CJK SC"/>
        <family val="2"/>
      </rPr>
      <t xml:space="preserve">该系数；系数越小，门票越便宜，玩家净赚越多</t>
    </r>
  </si>
  <si>
    <t xml:space="preserve">地形</t>
  </si>
  <si>
    <t xml:space="preserve">是否地形基底</t>
  </si>
  <si>
    <t xml:space="preserve">档位固定概率</t>
  </si>
  <si>
    <r>
      <rPr>
        <b val="true"/>
        <sz val="11"/>
        <color rgb="FFFFFFFF"/>
        <rFont val="Noto Sans CJK SC"/>
        <family val="2"/>
      </rPr>
      <t xml:space="preserve">出现概率（</t>
    </r>
    <r>
      <rPr>
        <b val="true"/>
        <sz val="11"/>
        <color rgb="FFFFFFFF"/>
        <rFont val="Arial"/>
        <family val="0"/>
        <charset val="1"/>
      </rPr>
      <t xml:space="preserve">%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</si>
  <si>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期望产出贡献（金币）</t>
  </si>
  <si>
    <r>
      <rPr>
        <sz val="10.5"/>
        <rFont val="Noto Sans CJK SC"/>
        <family val="2"/>
      </rPr>
      <t xml:space="preserve">平原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浅层土壤</t>
    </r>
  </si>
  <si>
    <t xml:space="preserve">是</t>
  </si>
  <si>
    <t xml:space="preserve">否</t>
  </si>
  <si>
    <r>
      <rPr>
        <b val="true"/>
        <sz val="10.5"/>
        <rFont val="Noto Sans CJK SC"/>
        <family val="2"/>
      </rPr>
      <t xml:space="preserve">平原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浅层土壤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</si>
  <si>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山地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岩层</t>
    </r>
  </si>
  <si>
    <r>
      <rPr>
        <b val="true"/>
        <sz val="10.5"/>
        <rFont val="Noto Sans CJK SC"/>
        <family val="2"/>
      </rPr>
      <t xml:space="preserve">山地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岩层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</si>
  <si>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深层洞穴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矿脉核心</t>
    </r>
  </si>
  <si>
    <r>
      <rPr>
        <b val="true"/>
        <sz val="10.5"/>
        <rFont val="Noto Sans CJK SC"/>
        <family val="2"/>
      </rPr>
      <t xml:space="preserve">深层洞穴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矿脉核心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</si>
  <si>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火山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熔岩区</t>
    </r>
  </si>
  <si>
    <r>
      <rPr>
        <b val="true"/>
        <sz val="10.5"/>
        <rFont val="Noto Sans CJK SC"/>
        <family val="2"/>
      </rPr>
      <t xml:space="preserve">火山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熔岩区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</si>
  <si>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t xml:space="preserve">沙漠</t>
  </si>
  <si>
    <r>
      <rPr>
        <b val="true"/>
        <sz val="10.5"/>
        <rFont val="Noto Sans CJK SC"/>
        <family val="2"/>
      </rPr>
      <t xml:space="preserve">沙漠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</si>
  <si>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极地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雪原冰川</t>
    </r>
  </si>
  <si>
    <r>
      <rPr>
        <b val="true"/>
        <sz val="10.5"/>
        <rFont val="Noto Sans CJK SC"/>
        <family val="2"/>
      </rPr>
      <t xml:space="preserve">极地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雪原冰川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</si>
  <si>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沼泽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湿地</t>
    </r>
  </si>
  <si>
    <r>
      <rPr>
        <b val="true"/>
        <sz val="10.5"/>
        <rFont val="Noto Sans CJK SC"/>
        <family val="2"/>
      </rPr>
      <t xml:space="preserve">沼泽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湿地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</si>
  <si>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r>
      <rPr>
        <sz val="10.5"/>
        <rFont val="Noto Sans CJK SC"/>
        <family val="2"/>
      </rPr>
      <t xml:space="preserve">海底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海岸礁石</t>
    </r>
  </si>
  <si>
    <r>
      <rPr>
        <b val="true"/>
        <sz val="10.5"/>
        <rFont val="Noto Sans CJK SC"/>
        <family val="2"/>
      </rPr>
      <t xml:space="preserve">海底</t>
    </r>
    <r>
      <rPr>
        <b val="true"/>
        <sz val="10.5"/>
        <rFont val="Arial"/>
        <family val="0"/>
        <charset val="1"/>
      </rPr>
      <t xml:space="preserve">/</t>
    </r>
    <r>
      <rPr>
        <b val="true"/>
        <sz val="10.5"/>
        <rFont val="Noto Sans CJK SC"/>
        <family val="2"/>
      </rPr>
      <t xml:space="preserve">海岸礁石 </t>
    </r>
    <r>
      <rPr>
        <b val="true"/>
        <sz val="10.5"/>
        <rFont val="Arial"/>
        <family val="0"/>
        <charset val="1"/>
      </rPr>
      <t xml:space="preserve">· </t>
    </r>
    <r>
      <rPr>
        <b val="true"/>
        <sz val="10.5"/>
        <rFont val="Noto Sans CJK SC"/>
        <family val="2"/>
      </rPr>
      <t xml:space="preserve">合计</t>
    </r>
  </si>
  <si>
    <t xml:space="preserve">单次挖掘期望产出（金币）</t>
  </si>
  <si>
    <t xml:space="preserve">期望总产出（金币）</t>
  </si>
  <si>
    <t xml:space="preserve">建议单次入场费（金币）</t>
  </si>
  <si>
    <t xml:space="preserve">预期净利润（金币）</t>
  </si>
  <si>
    <t xml:space="preserve">净利润率</t>
  </si>
  <si>
    <t xml:space="preserve">是否免费地形</t>
  </si>
  <si>
    <r>
      <rPr>
        <i val="true"/>
        <sz val="11"/>
        <color rgb="FF595959"/>
        <rFont val="Noto Sans CJK SC"/>
        <family val="2"/>
      </rPr>
      <t xml:space="preserve">建议单次入场费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期望总产出 </t>
    </r>
    <r>
      <rPr>
        <i val="true"/>
        <sz val="11"/>
        <color rgb="FF595959"/>
        <rFont val="Arial"/>
        <family val="0"/>
        <charset val="1"/>
      </rPr>
      <t xml:space="preserve">× </t>
    </r>
    <r>
      <rPr>
        <i val="true"/>
        <sz val="11"/>
        <color rgb="FF595959"/>
        <rFont val="Noto Sans CJK SC"/>
        <family val="2"/>
      </rPr>
      <t xml:space="preserve">目标利润系数（在「稀有度固定概率设置」表里可调），四舍五入到十位；「是否免费地形」标为「是」的地形（默认平原）直接入场费归零，忽略公式结果。</t>
    </r>
  </si>
  <si>
    <t xml:space="preserve">平原作为新手起始地形免费开放，方便玩家零门槛上手、攒第一桶金去解锁后面的地形；想让别的地形也免费，把对应行「是否免费地形」改成「是」即可。</t>
  </si>
  <si>
    <t xml:space="preserve">也就是说，只要玩家把入场后的挖掘次数都用满、且卖掉所有挖到的矿物，长期期望是净赚的；单次运气不好（净利润率为负）也正常，这是「概率游戏」而不是「保底游戏」。</t>
  </si>
  <si>
    <t xml:space="preserve">解锁顺序</t>
  </si>
  <si>
    <t xml:space="preserve">解锁前置
（累计已发现矿物种类数）</t>
  </si>
  <si>
    <t xml:space="preserve">该地形矿物种类数</t>
  </si>
  <si>
    <t xml:space="preserve">备注</t>
  </si>
  <si>
    <t xml:space="preserve">新手起始地形，免费开放</t>
  </si>
  <si>
    <r>
      <rPr>
        <sz val="10.5"/>
        <rFont val="Noto Sans CJK SC"/>
        <family val="2"/>
      </rPr>
      <t xml:space="preserve">可结合“渔具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潜水装备”等前置道具一起设计</t>
    </r>
  </si>
  <si>
    <t xml:space="preserve">可结合“防寒装备”前置道具</t>
  </si>
  <si>
    <t xml:space="preserve">含钻石顶级稀有产出，可结合“耐热装备”前置道具</t>
  </si>
  <si>
    <t xml:space="preserve">含红宝石、翡翠顶级稀有产出，建议作为终局地形</t>
  </si>
  <si>
    <t xml:space="preserve">黄色底色列为建议调整数值：解锁前置数量可自由改动。解锁只看「累计已发现矿物种类数」，不收一次性解锁费——门槛纯粹是探索进度，不是付费墙。</t>
  </si>
  <si>
    <t xml:space="preserve">单次入场费只在「地形经济测算」表里维护一份（建议单次入场费列），这里不重复列出，避免两处数字不同步。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</si>
</sst>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%"/>
    <numFmt numFmtId="167" formatCode="0%"/>
    <numFmt numFmtId="168" formatCode="0.0000%"/>
    <numFmt numFmtId="169" formatCode="0.00"/>
    <numFmt numFmtId="170" formatCode="0.00%"/>
    <numFmt numFmtId="171" formatCode="General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Noto Sans CJK SC"/>
      <family val="2"/>
    </font>
    <font>
      <b val="true"/>
      <sz val="16"/>
      <color rgb="FF2F5496"/>
      <name val="Arial"/>
      <family val="0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2F5496"/>
      <name val="Noto Sans CJK SC"/>
      <family val="2"/>
    </font>
    <font>
      <sz val="10.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A6A6A6"/>
      <name val="Arial"/>
      <family val="0"/>
      <charset val="1"/>
    </font>
    <font>
      <b val="true"/>
      <sz val="10.5"/>
      <name val="Noto Sans CJK SC"/>
      <family val="2"/>
    </font>
    <font>
      <b val="true"/>
      <sz val="10.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9DC3E6"/>
        <bgColor rgb="FFA6A6A6"/>
      </patternFill>
    </fill>
    <fill>
      <patternFill patternType="solid">
        <fgColor rgb="FFDDEBF7"/>
        <bgColor rgb="FFE2EFDA"/>
      </patternFill>
    </fill>
    <fill>
      <patternFill patternType="solid">
        <fgColor rgb="FFFFD966"/>
        <bgColor rgb="FFF4CCCC"/>
      </patternFill>
    </fill>
    <fill>
      <patternFill patternType="solid">
        <fgColor rgb="FFD9B3E6"/>
        <bgColor rgb="FFCC99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B3E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B3E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CE4D6"/>
      <rgbColor rgb="FF9DC3E6"/>
      <rgbColor rgb="FFFF99CC"/>
      <rgbColor rgb="FFCC99FF"/>
      <rgbColor rgb="FFF4CCCC"/>
      <rgbColor rgb="FF3366FF"/>
      <rgbColor rgb="FF33CCCC"/>
      <rgbColor rgb="FF99CC00"/>
      <rgbColor rgb="FFFFD966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3.85" hidden="false" customHeight="false" outlineLevel="0" collapsed="false">
      <c r="B2" s="1" t="s">
        <v>0</v>
      </c>
    </row>
    <row r="3" customFormat="false" ht="17.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/>
    </row>
    <row r="6" customFormat="false" ht="19.5" hidden="false" customHeight="true" outlineLevel="0" collapsed="false">
      <c r="B6" s="4" t="s">
        <v>2</v>
      </c>
    </row>
    <row r="7" customFormat="false" ht="31.5" hidden="false" customHeight="true" outlineLevel="0" collapsed="false">
      <c r="B7" s="3" t="s">
        <v>3</v>
      </c>
    </row>
    <row r="8" customFormat="false" ht="31.5" hidden="false" customHeight="true" outlineLevel="0" collapsed="false">
      <c r="B8" s="3" t="s">
        <v>4</v>
      </c>
    </row>
    <row r="9" customFormat="false" ht="31.5" hidden="false" customHeight="true" outlineLevel="0" collapsed="false">
      <c r="B9" s="3" t="s">
        <v>5</v>
      </c>
    </row>
    <row r="10" customFormat="false" ht="19.5" hidden="false" customHeight="true" outlineLevel="0" collapsed="false">
      <c r="B10" s="3"/>
    </row>
    <row r="11" customFormat="false" ht="19.5" hidden="false" customHeight="true" outlineLevel="0" collapsed="false">
      <c r="B11" s="4" t="s">
        <v>6</v>
      </c>
    </row>
    <row r="12" customFormat="false" ht="31.5" hidden="false" customHeight="true" outlineLevel="0" collapsed="false">
      <c r="B12" s="5" t="s">
        <v>7</v>
      </c>
    </row>
    <row r="13" customFormat="false" ht="31.5" hidden="false" customHeight="true" outlineLevel="0" collapsed="false">
      <c r="B13" s="3" t="s">
        <v>8</v>
      </c>
    </row>
    <row r="14" customFormat="false" ht="31.5" hidden="false" customHeight="true" outlineLevel="0" collapsed="false">
      <c r="B14" s="3" t="s">
        <v>9</v>
      </c>
    </row>
    <row r="15" customFormat="false" ht="31.5" hidden="false" customHeight="true" outlineLevel="0" collapsed="false">
      <c r="B15" s="3" t="s">
        <v>10</v>
      </c>
    </row>
    <row r="16" customFormat="false" ht="31.5" hidden="false" customHeight="true" outlineLevel="0" collapsed="false">
      <c r="B16" s="3" t="s">
        <v>11</v>
      </c>
    </row>
    <row r="17" customFormat="false" ht="19.5" hidden="false" customHeight="true" outlineLevel="0" collapsed="false">
      <c r="B17" s="3"/>
    </row>
    <row r="18" customFormat="false" ht="19.5" hidden="false" customHeight="true" outlineLevel="0" collapsed="false">
      <c r="B18" s="4" t="s">
        <v>12</v>
      </c>
    </row>
    <row r="19" customFormat="false" ht="31.5" hidden="false" customHeight="true" outlineLevel="0" collapsed="false">
      <c r="B19" s="5" t="s">
        <v>13</v>
      </c>
    </row>
    <row r="20" customFormat="false" ht="31.5" hidden="false" customHeight="true" outlineLevel="0" collapsed="false">
      <c r="B20" s="5" t="s">
        <v>14</v>
      </c>
    </row>
    <row r="21" customFormat="false" ht="31.5" hidden="false" customHeight="true" outlineLevel="0" collapsed="false">
      <c r="B21" s="5" t="s">
        <v>15</v>
      </c>
    </row>
    <row r="22" customFormat="false" ht="31.5" hidden="false" customHeight="true" outlineLevel="0" collapsed="false">
      <c r="B22" s="5" t="s">
        <v>16</v>
      </c>
    </row>
    <row r="23" customFormat="false" ht="31.5" hidden="false" customHeight="true" outlineLevel="0" collapsed="false">
      <c r="B23" s="5" t="s">
        <v>17</v>
      </c>
    </row>
    <row r="24" customFormat="false" ht="19.5" hidden="false" customHeight="true" outlineLevel="0" collapsed="false">
      <c r="B24" s="3"/>
    </row>
    <row r="25" customFormat="false" ht="19.5" hidden="false" customHeight="true" outlineLevel="0" collapsed="false">
      <c r="B25" s="4" t="s">
        <v>18</v>
      </c>
    </row>
    <row r="26" customFormat="false" ht="31.5" hidden="false" customHeight="true" outlineLevel="0" collapsed="false">
      <c r="B26" s="3" t="s">
        <v>19</v>
      </c>
    </row>
    <row r="27" customFormat="false" ht="31.5" hidden="false" customHeight="true" outlineLevel="0" collapsed="false">
      <c r="B27" s="3" t="s">
        <v>20</v>
      </c>
    </row>
    <row r="28" customFormat="false" ht="31.5" hidden="false" customHeight="true" outlineLevel="0" collapsed="false">
      <c r="B28" s="3" t="s">
        <v>21</v>
      </c>
    </row>
    <row r="29" customFormat="false" ht="31.5" hidden="false" customHeight="true" outlineLevel="0" collapsed="false">
      <c r="B29" s="3" t="s">
        <v>22</v>
      </c>
    </row>
    <row r="30" customFormat="false" ht="31.5" hidden="false" customHeight="true" outlineLevel="0" collapsed="false">
      <c r="B30" s="3" t="s">
        <v>23</v>
      </c>
    </row>
    <row r="31" customFormat="false" ht="19.5" hidden="false" customHeight="true" outlineLevel="0" collapsed="false">
      <c r="B31" s="3"/>
    </row>
    <row r="32" customFormat="false" ht="19.5" hidden="false" customHeight="true" outlineLevel="0" collapsed="false">
      <c r="B32" s="4" t="s">
        <v>24</v>
      </c>
    </row>
    <row r="33" customFormat="false" ht="31.5" hidden="false" customHeight="true" outlineLevel="0" collapsed="false">
      <c r="B33" s="3" t="s">
        <v>25</v>
      </c>
    </row>
    <row r="34" customFormat="false" ht="31.5" hidden="false" customHeight="true" outlineLevel="0" collapsed="false">
      <c r="B34" s="3" t="s">
        <v>26</v>
      </c>
    </row>
    <row r="35" customFormat="false" ht="31.5" hidden="false" customHeight="true" outlineLevel="0" collapsed="false">
      <c r="B35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customFormat="false" ht="16.4" hidden="false" customHeight="false" outlineLevel="0" collapsed="false">
      <c r="A2" s="7" t="s">
        <v>34</v>
      </c>
      <c r="B2" s="8" t="s">
        <v>35</v>
      </c>
      <c r="C2" s="9" t="s">
        <v>36</v>
      </c>
      <c r="D2" s="10" t="s">
        <v>37</v>
      </c>
      <c r="E2" s="11" t="n">
        <v>8</v>
      </c>
      <c r="F2" s="7" t="s">
        <v>38</v>
      </c>
    </row>
    <row r="3" customFormat="false" ht="16.4" hidden="false" customHeight="false" outlineLevel="0" collapsed="false">
      <c r="A3" s="7" t="s">
        <v>39</v>
      </c>
      <c r="B3" s="8" t="s">
        <v>35</v>
      </c>
      <c r="C3" s="9" t="s">
        <v>36</v>
      </c>
      <c r="D3" s="10" t="s">
        <v>37</v>
      </c>
      <c r="E3" s="11" t="n">
        <v>12</v>
      </c>
      <c r="F3" s="7" t="s">
        <v>38</v>
      </c>
    </row>
    <row r="4" customFormat="false" ht="15" hidden="false" customHeight="false" outlineLevel="0" collapsed="false">
      <c r="A4" s="7" t="s">
        <v>40</v>
      </c>
      <c r="B4" s="8" t="s">
        <v>35</v>
      </c>
      <c r="C4" s="9" t="s">
        <v>36</v>
      </c>
      <c r="D4" s="10" t="s">
        <v>37</v>
      </c>
      <c r="E4" s="11" t="n">
        <v>10</v>
      </c>
      <c r="F4" s="7" t="s">
        <v>41</v>
      </c>
    </row>
    <row r="5" customFormat="false" ht="15" hidden="false" customHeight="false" outlineLevel="0" collapsed="false">
      <c r="A5" s="7" t="s">
        <v>42</v>
      </c>
      <c r="B5" s="8" t="s">
        <v>35</v>
      </c>
      <c r="C5" s="12" t="s">
        <v>43</v>
      </c>
      <c r="D5" s="13" t="s">
        <v>44</v>
      </c>
      <c r="E5" s="11" t="n">
        <v>20</v>
      </c>
      <c r="F5" s="7"/>
    </row>
    <row r="6" customFormat="false" ht="15" hidden="false" customHeight="false" outlineLevel="0" collapsed="false">
      <c r="A6" s="7" t="s">
        <v>45</v>
      </c>
      <c r="B6" s="8" t="s">
        <v>35</v>
      </c>
      <c r="C6" s="9" t="s">
        <v>36</v>
      </c>
      <c r="D6" s="13" t="s">
        <v>46</v>
      </c>
      <c r="E6" s="11" t="n">
        <v>10</v>
      </c>
      <c r="F6" s="7"/>
    </row>
    <row r="7" customFormat="false" ht="15" hidden="false" customHeight="false" outlineLevel="0" collapsed="false">
      <c r="A7" s="7" t="s">
        <v>47</v>
      </c>
      <c r="B7" s="8" t="s">
        <v>35</v>
      </c>
      <c r="C7" s="9" t="s">
        <v>36</v>
      </c>
      <c r="D7" s="13" t="s">
        <v>48</v>
      </c>
      <c r="E7" s="11" t="n">
        <v>10</v>
      </c>
      <c r="F7" s="7"/>
    </row>
    <row r="8" customFormat="false" ht="15" hidden="false" customHeight="false" outlineLevel="0" collapsed="false">
      <c r="A8" s="7" t="s">
        <v>49</v>
      </c>
      <c r="B8" s="8" t="s">
        <v>35</v>
      </c>
      <c r="C8" s="12" t="s">
        <v>43</v>
      </c>
      <c r="D8" s="13" t="s">
        <v>50</v>
      </c>
      <c r="E8" s="11" t="n">
        <v>25</v>
      </c>
      <c r="F8" s="7"/>
    </row>
    <row r="9" customFormat="false" ht="16.4" hidden="false" customHeight="false" outlineLevel="0" collapsed="false">
      <c r="A9" s="7" t="s">
        <v>51</v>
      </c>
      <c r="B9" s="8" t="s">
        <v>35</v>
      </c>
      <c r="C9" s="12" t="s">
        <v>43</v>
      </c>
      <c r="D9" s="10" t="s">
        <v>37</v>
      </c>
      <c r="E9" s="11" t="n">
        <v>22</v>
      </c>
      <c r="F9" s="7" t="s">
        <v>38</v>
      </c>
    </row>
    <row r="10" customFormat="false" ht="16.4" hidden="false" customHeight="false" outlineLevel="0" collapsed="false">
      <c r="A10" s="7" t="s">
        <v>52</v>
      </c>
      <c r="B10" s="8" t="s">
        <v>35</v>
      </c>
      <c r="C10" s="14" t="s">
        <v>53</v>
      </c>
      <c r="D10" s="10" t="s">
        <v>37</v>
      </c>
      <c r="E10" s="11" t="n">
        <v>45</v>
      </c>
      <c r="F10" s="7" t="s">
        <v>54</v>
      </c>
    </row>
    <row r="11" customFormat="false" ht="15" hidden="false" customHeight="false" outlineLevel="0" collapsed="false">
      <c r="A11" s="7" t="s">
        <v>55</v>
      </c>
      <c r="B11" s="8" t="s">
        <v>35</v>
      </c>
      <c r="C11" s="14" t="s">
        <v>53</v>
      </c>
      <c r="D11" s="10" t="s">
        <v>37</v>
      </c>
      <c r="E11" s="11" t="n">
        <v>80</v>
      </c>
      <c r="F11" s="7" t="s">
        <v>56</v>
      </c>
    </row>
    <row r="12" customFormat="false" ht="15" hidden="false" customHeight="false" outlineLevel="0" collapsed="false">
      <c r="A12" s="7" t="s">
        <v>57</v>
      </c>
      <c r="B12" s="8" t="s">
        <v>35</v>
      </c>
      <c r="C12" s="12" t="s">
        <v>43</v>
      </c>
      <c r="D12" s="10" t="s">
        <v>37</v>
      </c>
      <c r="E12" s="11" t="n">
        <v>40</v>
      </c>
      <c r="F12" s="7" t="s">
        <v>58</v>
      </c>
    </row>
    <row r="13" customFormat="false" ht="15" hidden="false" customHeight="false" outlineLevel="0" collapsed="false">
      <c r="A13" s="7" t="s">
        <v>59</v>
      </c>
      <c r="B13" s="8" t="s">
        <v>35</v>
      </c>
      <c r="C13" s="12" t="s">
        <v>43</v>
      </c>
      <c r="D13" s="13" t="s">
        <v>60</v>
      </c>
      <c r="E13" s="11" t="n">
        <v>28</v>
      </c>
      <c r="F13" s="7"/>
    </row>
    <row r="14" customFormat="false" ht="15" hidden="false" customHeight="false" outlineLevel="0" collapsed="false">
      <c r="A14" s="7" t="s">
        <v>61</v>
      </c>
      <c r="B14" s="8" t="s">
        <v>35</v>
      </c>
      <c r="C14" s="9" t="s">
        <v>36</v>
      </c>
      <c r="D14" s="10" t="s">
        <v>37</v>
      </c>
      <c r="E14" s="11" t="n">
        <v>15</v>
      </c>
      <c r="F14" s="7" t="s">
        <v>62</v>
      </c>
    </row>
    <row r="15" customFormat="false" ht="15" hidden="false" customHeight="false" outlineLevel="0" collapsed="false">
      <c r="A15" s="7" t="s">
        <v>63</v>
      </c>
      <c r="B15" s="8" t="s">
        <v>35</v>
      </c>
      <c r="C15" s="9" t="s">
        <v>36</v>
      </c>
      <c r="D15" s="10" t="s">
        <v>37</v>
      </c>
      <c r="E15" s="11" t="n">
        <v>5</v>
      </c>
      <c r="F15" s="7" t="s">
        <v>64</v>
      </c>
    </row>
    <row r="16" customFormat="false" ht="15" hidden="false" customHeight="false" outlineLevel="0" collapsed="false">
      <c r="A16" s="7" t="s">
        <v>65</v>
      </c>
      <c r="B16" s="8" t="s">
        <v>35</v>
      </c>
      <c r="C16" s="9" t="s">
        <v>36</v>
      </c>
      <c r="D16" s="10" t="s">
        <v>37</v>
      </c>
      <c r="E16" s="11" t="n">
        <v>4</v>
      </c>
      <c r="F16" s="7" t="s">
        <v>66</v>
      </c>
    </row>
    <row r="17" customFormat="false" ht="15" hidden="false" customHeight="false" outlineLevel="0" collapsed="false">
      <c r="A17" s="7" t="s">
        <v>67</v>
      </c>
      <c r="B17" s="8" t="s">
        <v>35</v>
      </c>
      <c r="C17" s="12" t="s">
        <v>43</v>
      </c>
      <c r="D17" s="10" t="s">
        <v>37</v>
      </c>
      <c r="E17" s="11" t="n">
        <v>18</v>
      </c>
      <c r="F17" s="7" t="s">
        <v>68</v>
      </c>
    </row>
    <row r="18" customFormat="false" ht="15" hidden="false" customHeight="false" outlineLevel="0" collapsed="false">
      <c r="A18" s="7" t="s">
        <v>69</v>
      </c>
      <c r="B18" s="8" t="s">
        <v>35</v>
      </c>
      <c r="C18" s="12" t="s">
        <v>43</v>
      </c>
      <c r="D18" s="10" t="s">
        <v>37</v>
      </c>
      <c r="E18" s="11" t="n">
        <v>16</v>
      </c>
      <c r="F18" s="7" t="s">
        <v>70</v>
      </c>
    </row>
    <row r="19" customFormat="false" ht="16.4" hidden="false" customHeight="false" outlineLevel="0" collapsed="false">
      <c r="A19" s="7" t="s">
        <v>71</v>
      </c>
      <c r="B19" s="8" t="s">
        <v>35</v>
      </c>
      <c r="C19" s="14" t="s">
        <v>53</v>
      </c>
      <c r="D19" s="10" t="s">
        <v>37</v>
      </c>
      <c r="E19" s="11" t="n">
        <v>90</v>
      </c>
      <c r="F19" s="7" t="s">
        <v>72</v>
      </c>
    </row>
    <row r="20" customFormat="false" ht="16.4" hidden="false" customHeight="false" outlineLevel="0" collapsed="false">
      <c r="A20" s="7" t="s">
        <v>73</v>
      </c>
      <c r="B20" s="8" t="s">
        <v>35</v>
      </c>
      <c r="C20" s="9" t="s">
        <v>36</v>
      </c>
      <c r="D20" s="10" t="s">
        <v>37</v>
      </c>
      <c r="E20" s="11" t="n">
        <v>3</v>
      </c>
      <c r="F20" s="7" t="s">
        <v>74</v>
      </c>
    </row>
    <row r="21" customFormat="false" ht="15" hidden="false" customHeight="false" outlineLevel="0" collapsed="false">
      <c r="A21" s="7" t="s">
        <v>75</v>
      </c>
      <c r="B21" s="8" t="s">
        <v>35</v>
      </c>
      <c r="C21" s="9" t="s">
        <v>36</v>
      </c>
      <c r="D21" s="13" t="s">
        <v>76</v>
      </c>
      <c r="E21" s="11" t="n">
        <v>4</v>
      </c>
      <c r="F21" s="7"/>
    </row>
    <row r="22" customFormat="false" ht="16.4" hidden="false" customHeight="false" outlineLevel="0" collapsed="false">
      <c r="A22" s="7" t="s">
        <v>77</v>
      </c>
      <c r="B22" s="8" t="s">
        <v>35</v>
      </c>
      <c r="C22" s="9" t="s">
        <v>36</v>
      </c>
      <c r="D22" s="10" t="s">
        <v>37</v>
      </c>
      <c r="E22" s="11" t="n">
        <v>8</v>
      </c>
      <c r="F22" s="7" t="s">
        <v>78</v>
      </c>
    </row>
    <row r="23" customFormat="false" ht="16.4" hidden="false" customHeight="false" outlineLevel="0" collapsed="false">
      <c r="A23" s="7" t="s">
        <v>79</v>
      </c>
      <c r="B23" s="8" t="s">
        <v>35</v>
      </c>
      <c r="C23" s="9" t="s">
        <v>36</v>
      </c>
      <c r="D23" s="10" t="s">
        <v>37</v>
      </c>
      <c r="E23" s="11" t="n">
        <v>18</v>
      </c>
      <c r="F23" s="7" t="s">
        <v>80</v>
      </c>
    </row>
    <row r="24" customFormat="false" ht="16.4" hidden="false" customHeight="false" outlineLevel="0" collapsed="false">
      <c r="A24" s="7" t="s">
        <v>81</v>
      </c>
      <c r="B24" s="8" t="s">
        <v>35</v>
      </c>
      <c r="C24" s="9" t="s">
        <v>36</v>
      </c>
      <c r="D24" s="13" t="s">
        <v>82</v>
      </c>
      <c r="E24" s="11" t="n">
        <v>12</v>
      </c>
      <c r="F24" s="7" t="s">
        <v>83</v>
      </c>
    </row>
    <row r="25" customFormat="false" ht="15" hidden="false" customHeight="false" outlineLevel="0" collapsed="false">
      <c r="A25" s="7" t="s">
        <v>84</v>
      </c>
      <c r="B25" s="8" t="s">
        <v>35</v>
      </c>
      <c r="C25" s="9" t="s">
        <v>36</v>
      </c>
      <c r="D25" s="13" t="s">
        <v>85</v>
      </c>
      <c r="E25" s="11" t="n">
        <v>5</v>
      </c>
      <c r="F25" s="7"/>
    </row>
    <row r="26" customFormat="false" ht="15" hidden="false" customHeight="false" outlineLevel="0" collapsed="false">
      <c r="A26" s="7" t="s">
        <v>86</v>
      </c>
      <c r="B26" s="8" t="s">
        <v>35</v>
      </c>
      <c r="C26" s="12" t="s">
        <v>43</v>
      </c>
      <c r="D26" s="13" t="s">
        <v>87</v>
      </c>
      <c r="E26" s="11" t="n">
        <v>18</v>
      </c>
      <c r="F26" s="7"/>
    </row>
    <row r="27" customFormat="false" ht="15" hidden="false" customHeight="false" outlineLevel="0" collapsed="false">
      <c r="A27" s="7" t="s">
        <v>88</v>
      </c>
      <c r="B27" s="8" t="s">
        <v>35</v>
      </c>
      <c r="C27" s="9" t="s">
        <v>36</v>
      </c>
      <c r="D27" s="13" t="s">
        <v>89</v>
      </c>
      <c r="E27" s="11" t="n">
        <v>10</v>
      </c>
      <c r="F27" s="7"/>
    </row>
    <row r="28" customFormat="false" ht="15" hidden="false" customHeight="false" outlineLevel="0" collapsed="false">
      <c r="A28" s="7" t="s">
        <v>90</v>
      </c>
      <c r="B28" s="8" t="s">
        <v>35</v>
      </c>
      <c r="C28" s="9" t="s">
        <v>36</v>
      </c>
      <c r="D28" s="13" t="s">
        <v>91</v>
      </c>
      <c r="E28" s="11" t="n">
        <v>8</v>
      </c>
      <c r="F28" s="7"/>
    </row>
    <row r="29" customFormat="false" ht="15" hidden="false" customHeight="false" outlineLevel="0" collapsed="false">
      <c r="A29" s="7" t="s">
        <v>92</v>
      </c>
      <c r="B29" s="8" t="s">
        <v>35</v>
      </c>
      <c r="C29" s="9" t="s">
        <v>36</v>
      </c>
      <c r="D29" s="13" t="s">
        <v>93</v>
      </c>
      <c r="E29" s="11" t="n">
        <v>6</v>
      </c>
      <c r="F29" s="7"/>
    </row>
    <row r="30" customFormat="false" ht="15" hidden="false" customHeight="false" outlineLevel="0" collapsed="false">
      <c r="A30" s="7" t="s">
        <v>94</v>
      </c>
      <c r="B30" s="8" t="s">
        <v>35</v>
      </c>
      <c r="C30" s="9" t="s">
        <v>36</v>
      </c>
      <c r="D30" s="13" t="s">
        <v>95</v>
      </c>
      <c r="E30" s="11" t="n">
        <v>4</v>
      </c>
      <c r="F30" s="7"/>
    </row>
    <row r="31" customFormat="false" ht="15" hidden="false" customHeight="false" outlineLevel="0" collapsed="false">
      <c r="A31" s="7" t="s">
        <v>96</v>
      </c>
      <c r="B31" s="8" t="s">
        <v>35</v>
      </c>
      <c r="C31" s="12" t="s">
        <v>43</v>
      </c>
      <c r="D31" s="10" t="s">
        <v>37</v>
      </c>
      <c r="E31" s="11" t="n">
        <v>15</v>
      </c>
      <c r="F31" s="7" t="s">
        <v>97</v>
      </c>
    </row>
    <row r="32" customFormat="false" ht="16.4" hidden="false" customHeight="false" outlineLevel="0" collapsed="false">
      <c r="A32" s="7" t="s">
        <v>98</v>
      </c>
      <c r="B32" s="8" t="s">
        <v>35</v>
      </c>
      <c r="C32" s="9" t="s">
        <v>36</v>
      </c>
      <c r="D32" s="10" t="s">
        <v>37</v>
      </c>
      <c r="E32" s="11" t="n">
        <v>7</v>
      </c>
      <c r="F32" s="7" t="s">
        <v>99</v>
      </c>
    </row>
    <row r="33" customFormat="false" ht="15" hidden="false" customHeight="false" outlineLevel="0" collapsed="false">
      <c r="A33" s="7" t="s">
        <v>100</v>
      </c>
      <c r="B33" s="8" t="s">
        <v>35</v>
      </c>
      <c r="C33" s="9" t="s">
        <v>36</v>
      </c>
      <c r="D33" s="13" t="s">
        <v>101</v>
      </c>
      <c r="E33" s="11" t="n">
        <v>5</v>
      </c>
      <c r="F33" s="7"/>
    </row>
    <row r="34" customFormat="false" ht="15" hidden="false" customHeight="false" outlineLevel="0" collapsed="false">
      <c r="A34" s="7" t="s">
        <v>102</v>
      </c>
      <c r="B34" s="8" t="s">
        <v>35</v>
      </c>
      <c r="C34" s="12" t="s">
        <v>43</v>
      </c>
      <c r="D34" s="13" t="s">
        <v>103</v>
      </c>
      <c r="E34" s="11" t="n">
        <v>14</v>
      </c>
      <c r="F34" s="7"/>
    </row>
    <row r="35" customFormat="false" ht="15" hidden="false" customHeight="false" outlineLevel="0" collapsed="false">
      <c r="A35" s="7" t="s">
        <v>104</v>
      </c>
      <c r="B35" s="8" t="s">
        <v>35</v>
      </c>
      <c r="C35" s="12" t="s">
        <v>43</v>
      </c>
      <c r="D35" s="10" t="s">
        <v>37</v>
      </c>
      <c r="E35" s="11" t="n">
        <v>25</v>
      </c>
      <c r="F35" s="7" t="s">
        <v>105</v>
      </c>
    </row>
    <row r="36" customFormat="false" ht="16.4" hidden="false" customHeight="false" outlineLevel="0" collapsed="false">
      <c r="A36" s="7" t="s">
        <v>106</v>
      </c>
      <c r="B36" s="8" t="s">
        <v>35</v>
      </c>
      <c r="C36" s="9" t="s">
        <v>36</v>
      </c>
      <c r="D36" s="10" t="s">
        <v>37</v>
      </c>
      <c r="E36" s="11" t="n">
        <v>6</v>
      </c>
      <c r="F36" s="7" t="s">
        <v>107</v>
      </c>
    </row>
    <row r="37" customFormat="false" ht="15" hidden="false" customHeight="false" outlineLevel="0" collapsed="false">
      <c r="A37" s="7" t="s">
        <v>108</v>
      </c>
      <c r="B37" s="8" t="s">
        <v>35</v>
      </c>
      <c r="C37" s="9" t="s">
        <v>36</v>
      </c>
      <c r="D37" s="13" t="s">
        <v>109</v>
      </c>
      <c r="E37" s="11" t="n">
        <v>12</v>
      </c>
      <c r="F37" s="7"/>
    </row>
    <row r="38" customFormat="false" ht="16.4" hidden="false" customHeight="false" outlineLevel="0" collapsed="false">
      <c r="A38" s="7" t="s">
        <v>110</v>
      </c>
      <c r="B38" s="8" t="s">
        <v>35</v>
      </c>
      <c r="C38" s="9" t="s">
        <v>36</v>
      </c>
      <c r="D38" s="13" t="s">
        <v>111</v>
      </c>
      <c r="E38" s="11" t="n">
        <v>25</v>
      </c>
      <c r="F38" s="7" t="s">
        <v>112</v>
      </c>
    </row>
    <row r="39" customFormat="false" ht="16.4" hidden="false" customHeight="false" outlineLevel="0" collapsed="false">
      <c r="A39" s="7" t="s">
        <v>113</v>
      </c>
      <c r="B39" s="8" t="s">
        <v>35</v>
      </c>
      <c r="C39" s="9" t="s">
        <v>36</v>
      </c>
      <c r="D39" s="10" t="s">
        <v>37</v>
      </c>
      <c r="E39" s="11" t="n">
        <v>35</v>
      </c>
      <c r="F39" s="7" t="s">
        <v>114</v>
      </c>
    </row>
    <row r="40" customFormat="false" ht="16.4" hidden="false" customHeight="false" outlineLevel="0" collapsed="false">
      <c r="A40" s="7" t="s">
        <v>115</v>
      </c>
      <c r="B40" s="8" t="s">
        <v>35</v>
      </c>
      <c r="C40" s="9" t="s">
        <v>36</v>
      </c>
      <c r="D40" s="10" t="s">
        <v>37</v>
      </c>
      <c r="E40" s="11" t="n">
        <v>50</v>
      </c>
      <c r="F40" s="7" t="s">
        <v>116</v>
      </c>
    </row>
    <row r="41" customFormat="false" ht="15" hidden="false" customHeight="false" outlineLevel="0" collapsed="false">
      <c r="A41" s="7" t="s">
        <v>117</v>
      </c>
      <c r="B41" s="15" t="s">
        <v>118</v>
      </c>
      <c r="C41" s="16" t="s">
        <v>119</v>
      </c>
      <c r="D41" s="13" t="s">
        <v>120</v>
      </c>
      <c r="E41" s="11" t="n">
        <v>3000</v>
      </c>
      <c r="F41" s="7" t="s">
        <v>121</v>
      </c>
    </row>
    <row r="42" customFormat="false" ht="16.4" hidden="false" customHeight="false" outlineLevel="0" collapsed="false">
      <c r="A42" s="7" t="s">
        <v>122</v>
      </c>
      <c r="B42" s="15" t="s">
        <v>118</v>
      </c>
      <c r="C42" s="17" t="s">
        <v>123</v>
      </c>
      <c r="D42" s="13" t="s">
        <v>124</v>
      </c>
      <c r="E42" s="11" t="n">
        <v>1800</v>
      </c>
      <c r="F42" s="7" t="s">
        <v>125</v>
      </c>
    </row>
    <row r="43" customFormat="false" ht="16.4" hidden="false" customHeight="false" outlineLevel="0" collapsed="false">
      <c r="A43" s="7" t="s">
        <v>126</v>
      </c>
      <c r="B43" s="15" t="s">
        <v>118</v>
      </c>
      <c r="C43" s="17" t="s">
        <v>123</v>
      </c>
      <c r="D43" s="13" t="s">
        <v>124</v>
      </c>
      <c r="E43" s="11" t="n">
        <v>1600</v>
      </c>
      <c r="F43" s="7" t="s">
        <v>127</v>
      </c>
    </row>
    <row r="44" customFormat="false" ht="16.4" hidden="false" customHeight="false" outlineLevel="0" collapsed="false">
      <c r="A44" s="7" t="s">
        <v>128</v>
      </c>
      <c r="B44" s="15" t="s">
        <v>118</v>
      </c>
      <c r="C44" s="17" t="s">
        <v>123</v>
      </c>
      <c r="D44" s="13" t="s">
        <v>129</v>
      </c>
      <c r="E44" s="11" t="n">
        <v>2000</v>
      </c>
      <c r="F44" s="7" t="s">
        <v>130</v>
      </c>
    </row>
    <row r="45" customFormat="false" ht="15" hidden="false" customHeight="false" outlineLevel="0" collapsed="false">
      <c r="A45" s="7" t="s">
        <v>131</v>
      </c>
      <c r="B45" s="15" t="s">
        <v>118</v>
      </c>
      <c r="C45" s="17" t="s">
        <v>123</v>
      </c>
      <c r="D45" s="13" t="s">
        <v>132</v>
      </c>
      <c r="E45" s="11" t="n">
        <v>1500</v>
      </c>
      <c r="F45" s="7" t="s">
        <v>133</v>
      </c>
    </row>
    <row r="46" customFormat="false" ht="16.4" hidden="false" customHeight="false" outlineLevel="0" collapsed="false">
      <c r="A46" s="7" t="s">
        <v>134</v>
      </c>
      <c r="B46" s="15" t="s">
        <v>118</v>
      </c>
      <c r="C46" s="14" t="s">
        <v>53</v>
      </c>
      <c r="D46" s="13" t="s">
        <v>135</v>
      </c>
      <c r="E46" s="11" t="n">
        <v>400</v>
      </c>
      <c r="F46" s="7" t="s">
        <v>136</v>
      </c>
    </row>
    <row r="47" customFormat="false" ht="15" hidden="false" customHeight="false" outlineLevel="0" collapsed="false">
      <c r="A47" s="7" t="s">
        <v>137</v>
      </c>
      <c r="B47" s="15" t="s">
        <v>118</v>
      </c>
      <c r="C47" s="14" t="s">
        <v>53</v>
      </c>
      <c r="D47" s="13" t="s">
        <v>138</v>
      </c>
      <c r="E47" s="11" t="n">
        <v>600</v>
      </c>
      <c r="F47" s="7" t="s">
        <v>139</v>
      </c>
    </row>
    <row r="48" customFormat="false" ht="15" hidden="false" customHeight="false" outlineLevel="0" collapsed="false">
      <c r="A48" s="7" t="s">
        <v>140</v>
      </c>
      <c r="B48" s="15" t="s">
        <v>118</v>
      </c>
      <c r="C48" s="14" t="s">
        <v>53</v>
      </c>
      <c r="D48" s="13" t="s">
        <v>141</v>
      </c>
      <c r="E48" s="11" t="n">
        <v>350</v>
      </c>
      <c r="F48" s="7"/>
    </row>
    <row r="49" customFormat="false" ht="16.4" hidden="false" customHeight="false" outlineLevel="0" collapsed="false">
      <c r="A49" s="7" t="s">
        <v>142</v>
      </c>
      <c r="B49" s="15" t="s">
        <v>118</v>
      </c>
      <c r="C49" s="12" t="s">
        <v>43</v>
      </c>
      <c r="D49" s="13" t="s">
        <v>143</v>
      </c>
      <c r="E49" s="11" t="n">
        <v>150</v>
      </c>
      <c r="F49" s="7" t="s">
        <v>144</v>
      </c>
    </row>
    <row r="50" customFormat="false" ht="15" hidden="false" customHeight="false" outlineLevel="0" collapsed="false">
      <c r="A50" s="7" t="s">
        <v>145</v>
      </c>
      <c r="B50" s="15" t="s">
        <v>118</v>
      </c>
      <c r="C50" s="12" t="s">
        <v>43</v>
      </c>
      <c r="D50" s="13" t="s">
        <v>146</v>
      </c>
      <c r="E50" s="11" t="n">
        <v>180</v>
      </c>
      <c r="F50" s="7"/>
    </row>
    <row r="51" customFormat="false" ht="15" hidden="false" customHeight="false" outlineLevel="0" collapsed="false">
      <c r="A51" s="7" t="s">
        <v>147</v>
      </c>
      <c r="B51" s="15" t="s">
        <v>118</v>
      </c>
      <c r="C51" s="12" t="s">
        <v>43</v>
      </c>
      <c r="D51" s="13" t="s">
        <v>148</v>
      </c>
      <c r="E51" s="11" t="n">
        <v>120</v>
      </c>
      <c r="F51" s="7"/>
    </row>
    <row r="52" customFormat="false" ht="15" hidden="false" customHeight="false" outlineLevel="0" collapsed="false">
      <c r="A52" s="7" t="s">
        <v>149</v>
      </c>
      <c r="B52" s="15" t="s">
        <v>118</v>
      </c>
      <c r="C52" s="14" t="s">
        <v>53</v>
      </c>
      <c r="D52" s="13" t="s">
        <v>129</v>
      </c>
      <c r="E52" s="11" t="n">
        <v>350</v>
      </c>
      <c r="F52" s="7" t="s">
        <v>150</v>
      </c>
    </row>
    <row r="53" customFormat="false" ht="15" hidden="false" customHeight="false" outlineLevel="0" collapsed="false">
      <c r="A53" s="7" t="s">
        <v>151</v>
      </c>
      <c r="B53" s="15" t="s">
        <v>118</v>
      </c>
      <c r="C53" s="14" t="s">
        <v>53</v>
      </c>
      <c r="D53" s="13" t="s">
        <v>129</v>
      </c>
      <c r="E53" s="11" t="n">
        <v>380</v>
      </c>
      <c r="F53" s="7" t="s">
        <v>152</v>
      </c>
    </row>
    <row r="54" customFormat="false" ht="15" hidden="false" customHeight="false" outlineLevel="0" collapsed="false">
      <c r="A54" s="7" t="s">
        <v>153</v>
      </c>
      <c r="B54" s="15" t="s">
        <v>118</v>
      </c>
      <c r="C54" s="12" t="s">
        <v>43</v>
      </c>
      <c r="D54" s="13" t="s">
        <v>154</v>
      </c>
      <c r="E54" s="11" t="n">
        <v>140</v>
      </c>
      <c r="F54" s="7" t="s">
        <v>155</v>
      </c>
    </row>
    <row r="55" customFormat="false" ht="16.4" hidden="false" customHeight="false" outlineLevel="0" collapsed="false">
      <c r="A55" s="7" t="s">
        <v>156</v>
      </c>
      <c r="B55" s="15" t="s">
        <v>118</v>
      </c>
      <c r="C55" s="12" t="s">
        <v>43</v>
      </c>
      <c r="D55" s="13" t="s">
        <v>157</v>
      </c>
      <c r="E55" s="11" t="n">
        <v>130</v>
      </c>
      <c r="F55" s="7" t="s">
        <v>158</v>
      </c>
    </row>
    <row r="56" customFormat="false" ht="15" hidden="false" customHeight="false" outlineLevel="0" collapsed="false">
      <c r="A56" s="7" t="s">
        <v>159</v>
      </c>
      <c r="B56" s="15" t="s">
        <v>118</v>
      </c>
      <c r="C56" s="9" t="s">
        <v>36</v>
      </c>
      <c r="D56" s="13" t="s">
        <v>82</v>
      </c>
      <c r="E56" s="11" t="n">
        <v>60</v>
      </c>
      <c r="F56" s="7" t="s">
        <v>160</v>
      </c>
    </row>
    <row r="57" customFormat="false" ht="15" hidden="false" customHeight="false" outlineLevel="0" collapsed="false">
      <c r="A57" s="7" t="s">
        <v>161</v>
      </c>
      <c r="B57" s="15" t="s">
        <v>118</v>
      </c>
      <c r="C57" s="9" t="s">
        <v>36</v>
      </c>
      <c r="D57" s="13" t="s">
        <v>82</v>
      </c>
      <c r="E57" s="11" t="n">
        <v>50</v>
      </c>
      <c r="F57" s="7" t="s">
        <v>160</v>
      </c>
    </row>
    <row r="58" customFormat="false" ht="15" hidden="false" customHeight="false" outlineLevel="0" collapsed="false">
      <c r="A58" s="7" t="s">
        <v>162</v>
      </c>
      <c r="B58" s="15" t="s">
        <v>118</v>
      </c>
      <c r="C58" s="9" t="s">
        <v>36</v>
      </c>
      <c r="D58" s="13" t="s">
        <v>82</v>
      </c>
      <c r="E58" s="11" t="n">
        <v>30</v>
      </c>
      <c r="F58" s="7" t="s">
        <v>160</v>
      </c>
    </row>
    <row r="59" customFormat="false" ht="15" hidden="false" customHeight="false" outlineLevel="0" collapsed="false">
      <c r="A59" s="7" t="s">
        <v>163</v>
      </c>
      <c r="B59" s="15" t="s">
        <v>118</v>
      </c>
      <c r="C59" s="9" t="s">
        <v>36</v>
      </c>
      <c r="D59" s="13" t="s">
        <v>82</v>
      </c>
      <c r="E59" s="11" t="n">
        <v>55</v>
      </c>
      <c r="F59" s="7" t="s">
        <v>160</v>
      </c>
    </row>
    <row r="60" customFormat="false" ht="15" hidden="false" customHeight="false" outlineLevel="0" collapsed="false">
      <c r="A60" s="7" t="s">
        <v>164</v>
      </c>
      <c r="B60" s="15" t="s">
        <v>118</v>
      </c>
      <c r="C60" s="9" t="s">
        <v>36</v>
      </c>
      <c r="D60" s="13" t="s">
        <v>82</v>
      </c>
      <c r="E60" s="11" t="n">
        <v>45</v>
      </c>
      <c r="F60" s="7" t="s">
        <v>160</v>
      </c>
    </row>
    <row r="61" customFormat="false" ht="15" hidden="false" customHeight="false" outlineLevel="0" collapsed="false">
      <c r="A61" s="7" t="s">
        <v>165</v>
      </c>
      <c r="B61" s="15" t="s">
        <v>118</v>
      </c>
      <c r="C61" s="12" t="s">
        <v>43</v>
      </c>
      <c r="D61" s="13" t="s">
        <v>87</v>
      </c>
      <c r="E61" s="11" t="n">
        <v>90</v>
      </c>
      <c r="F61" s="7"/>
    </row>
    <row r="62" customFormat="false" ht="15" hidden="false" customHeight="false" outlineLevel="0" collapsed="false">
      <c r="A62" s="7" t="s">
        <v>166</v>
      </c>
      <c r="B62" s="15" t="s">
        <v>118</v>
      </c>
      <c r="C62" s="9" t="s">
        <v>36</v>
      </c>
      <c r="D62" s="13" t="s">
        <v>167</v>
      </c>
      <c r="E62" s="11" t="n">
        <v>25</v>
      </c>
      <c r="F62" s="7"/>
    </row>
    <row r="63" customFormat="false" ht="15" hidden="false" customHeight="false" outlineLevel="0" collapsed="false">
      <c r="A63" s="7" t="s">
        <v>168</v>
      </c>
      <c r="B63" s="15" t="s">
        <v>118</v>
      </c>
      <c r="C63" s="12" t="s">
        <v>43</v>
      </c>
      <c r="D63" s="13" t="s">
        <v>169</v>
      </c>
      <c r="E63" s="11" t="n">
        <v>95</v>
      </c>
      <c r="F63" s="7"/>
    </row>
    <row r="64" customFormat="false" ht="15" hidden="false" customHeight="false" outlineLevel="0" collapsed="false">
      <c r="A64" s="7" t="s">
        <v>170</v>
      </c>
      <c r="B64" s="15" t="s">
        <v>118</v>
      </c>
      <c r="C64" s="14" t="s">
        <v>53</v>
      </c>
      <c r="D64" s="13" t="s">
        <v>171</v>
      </c>
      <c r="E64" s="11" t="n">
        <v>500</v>
      </c>
      <c r="F64" s="7" t="s">
        <v>172</v>
      </c>
    </row>
    <row r="65" customFormat="false" ht="15" hidden="false" customHeight="false" outlineLevel="0" collapsed="false">
      <c r="A65" s="7" t="s">
        <v>173</v>
      </c>
      <c r="B65" s="15" t="s">
        <v>118</v>
      </c>
      <c r="C65" s="17" t="s">
        <v>123</v>
      </c>
      <c r="D65" s="13" t="s">
        <v>174</v>
      </c>
      <c r="E65" s="11" t="n">
        <v>2500</v>
      </c>
      <c r="F65" s="7" t="s">
        <v>175</v>
      </c>
    </row>
    <row r="66" customFormat="false" ht="15" hidden="false" customHeight="false" outlineLevel="0" collapsed="false">
      <c r="A66" s="7" t="s">
        <v>176</v>
      </c>
      <c r="B66" s="15" t="s">
        <v>118</v>
      </c>
      <c r="C66" s="14" t="s">
        <v>53</v>
      </c>
      <c r="D66" s="13" t="s">
        <v>177</v>
      </c>
      <c r="E66" s="11" t="n">
        <v>700</v>
      </c>
      <c r="F66" s="7" t="s">
        <v>178</v>
      </c>
    </row>
    <row r="67" customFormat="false" ht="16.4" hidden="false" customHeight="false" outlineLevel="0" collapsed="false">
      <c r="A67" s="7" t="s">
        <v>179</v>
      </c>
      <c r="B67" s="15" t="s">
        <v>118</v>
      </c>
      <c r="C67" s="14" t="s">
        <v>53</v>
      </c>
      <c r="D67" s="10" t="s">
        <v>37</v>
      </c>
      <c r="E67" s="11" t="n">
        <v>320</v>
      </c>
      <c r="F67" s="7" t="s">
        <v>180</v>
      </c>
    </row>
    <row r="68" customFormat="false" ht="15" hidden="false" customHeight="false" outlineLevel="0" collapsed="false">
      <c r="A68" s="7" t="s">
        <v>181</v>
      </c>
      <c r="B68" s="15" t="s">
        <v>118</v>
      </c>
      <c r="C68" s="12" t="s">
        <v>43</v>
      </c>
      <c r="D68" s="13" t="s">
        <v>182</v>
      </c>
      <c r="E68" s="11" t="n">
        <v>160</v>
      </c>
      <c r="F68" s="7"/>
    </row>
    <row r="69" customFormat="false" ht="15" hidden="false" customHeight="false" outlineLevel="0" collapsed="false">
      <c r="A69" s="7" t="s">
        <v>183</v>
      </c>
      <c r="B69" s="15" t="s">
        <v>118</v>
      </c>
      <c r="C69" s="9" t="s">
        <v>36</v>
      </c>
      <c r="D69" s="13" t="s">
        <v>82</v>
      </c>
      <c r="E69" s="11" t="n">
        <v>40</v>
      </c>
      <c r="F69" s="7" t="s">
        <v>184</v>
      </c>
    </row>
    <row r="70" customFormat="false" ht="15" hidden="false" customHeight="false" outlineLevel="0" collapsed="false">
      <c r="A70" s="7" t="s">
        <v>185</v>
      </c>
      <c r="B70" s="15" t="s">
        <v>118</v>
      </c>
      <c r="C70" s="9" t="s">
        <v>36</v>
      </c>
      <c r="D70" s="13" t="s">
        <v>186</v>
      </c>
      <c r="E70" s="11" t="n">
        <v>35</v>
      </c>
      <c r="F70" s="7" t="s">
        <v>187</v>
      </c>
    </row>
    <row r="71" customFormat="false" ht="15" hidden="false" customHeight="false" outlineLevel="0" collapsed="false">
      <c r="A71" s="7" t="s">
        <v>188</v>
      </c>
      <c r="B71" s="15" t="s">
        <v>118</v>
      </c>
      <c r="C71" s="9" t="s">
        <v>36</v>
      </c>
      <c r="D71" s="13" t="s">
        <v>82</v>
      </c>
      <c r="E71" s="11" t="n">
        <v>70</v>
      </c>
      <c r="F71" s="7" t="s">
        <v>189</v>
      </c>
    </row>
    <row r="72" customFormat="false" ht="16.4" hidden="false" customHeight="false" outlineLevel="0" collapsed="false">
      <c r="A72" s="7" t="s">
        <v>190</v>
      </c>
      <c r="B72" s="15" t="s">
        <v>118</v>
      </c>
      <c r="C72" s="12" t="s">
        <v>43</v>
      </c>
      <c r="D72" s="10" t="s">
        <v>37</v>
      </c>
      <c r="E72" s="11" t="n">
        <v>110</v>
      </c>
      <c r="F72" s="7" t="s">
        <v>191</v>
      </c>
    </row>
    <row r="73" customFormat="false" ht="15" hidden="false" customHeight="false" outlineLevel="0" collapsed="false">
      <c r="A73" s="7" t="s">
        <v>192</v>
      </c>
      <c r="B73" s="15" t="s">
        <v>118</v>
      </c>
      <c r="C73" s="12" t="s">
        <v>43</v>
      </c>
      <c r="D73" s="13" t="s">
        <v>167</v>
      </c>
      <c r="E73" s="11" t="n">
        <v>20</v>
      </c>
      <c r="F73" s="7" t="s">
        <v>193</v>
      </c>
    </row>
    <row r="74" customFormat="false" ht="15" hidden="false" customHeight="false" outlineLevel="0" collapsed="false">
      <c r="A74" s="7" t="s">
        <v>194</v>
      </c>
      <c r="B74" s="18" t="s">
        <v>195</v>
      </c>
      <c r="C74" s="12" t="s">
        <v>43</v>
      </c>
      <c r="D74" s="10" t="s">
        <v>37</v>
      </c>
      <c r="E74" s="11" t="n">
        <v>200</v>
      </c>
      <c r="F74" s="7" t="s">
        <v>196</v>
      </c>
    </row>
    <row r="75" customFormat="false" ht="15" hidden="false" customHeight="false" outlineLevel="0" collapsed="false">
      <c r="A75" s="7" t="s">
        <v>197</v>
      </c>
      <c r="B75" s="18" t="s">
        <v>195</v>
      </c>
      <c r="C75" s="12" t="s">
        <v>43</v>
      </c>
      <c r="D75" s="10" t="s">
        <v>37</v>
      </c>
      <c r="E75" s="11" t="n">
        <v>180</v>
      </c>
      <c r="F75" s="7" t="s">
        <v>198</v>
      </c>
    </row>
    <row r="76" customFormat="false" ht="15" hidden="false" customHeight="false" outlineLevel="0" collapsed="false">
      <c r="A76" s="7" t="s">
        <v>199</v>
      </c>
      <c r="B76" s="18" t="s">
        <v>195</v>
      </c>
      <c r="C76" s="17" t="s">
        <v>123</v>
      </c>
      <c r="D76" s="10" t="s">
        <v>37</v>
      </c>
      <c r="E76" s="11" t="n">
        <v>2500</v>
      </c>
      <c r="F76" s="7" t="s">
        <v>198</v>
      </c>
    </row>
    <row r="77" customFormat="false" ht="15" hidden="false" customHeight="false" outlineLevel="0" collapsed="false">
      <c r="A77" s="7" t="s">
        <v>200</v>
      </c>
      <c r="B77" s="18" t="s">
        <v>195</v>
      </c>
      <c r="C77" s="17" t="s">
        <v>123</v>
      </c>
      <c r="D77" s="10" t="s">
        <v>37</v>
      </c>
      <c r="E77" s="11" t="n">
        <v>3000</v>
      </c>
      <c r="F77" s="7" t="s">
        <v>198</v>
      </c>
    </row>
    <row r="78" customFormat="false" ht="15" hidden="false" customHeight="false" outlineLevel="0" collapsed="false">
      <c r="A78" s="7" t="s">
        <v>201</v>
      </c>
      <c r="B78" s="18" t="s">
        <v>195</v>
      </c>
      <c r="C78" s="14" t="s">
        <v>53</v>
      </c>
      <c r="D78" s="10" t="s">
        <v>37</v>
      </c>
      <c r="E78" s="11" t="n">
        <v>900</v>
      </c>
      <c r="F78" s="7" t="s">
        <v>198</v>
      </c>
    </row>
    <row r="79" customFormat="false" ht="16.4" hidden="false" customHeight="false" outlineLevel="0" collapsed="false">
      <c r="A79" s="7" t="s">
        <v>202</v>
      </c>
      <c r="B79" s="18" t="s">
        <v>195</v>
      </c>
      <c r="C79" s="14" t="s">
        <v>53</v>
      </c>
      <c r="D79" s="10" t="s">
        <v>37</v>
      </c>
      <c r="E79" s="11" t="n">
        <v>650</v>
      </c>
      <c r="F79" s="7" t="s">
        <v>203</v>
      </c>
    </row>
    <row r="80" customFormat="false" ht="15" hidden="false" customHeight="false" outlineLevel="0" collapsed="false">
      <c r="A80" s="7" t="s">
        <v>204</v>
      </c>
      <c r="B80" s="18" t="s">
        <v>195</v>
      </c>
      <c r="C80" s="9" t="s">
        <v>36</v>
      </c>
      <c r="D80" s="10" t="s">
        <v>37</v>
      </c>
      <c r="E80" s="11" t="n">
        <v>90</v>
      </c>
      <c r="F80" s="7" t="s">
        <v>198</v>
      </c>
    </row>
    <row r="81" customFormat="false" ht="15" hidden="false" customHeight="false" outlineLevel="0" collapsed="false">
      <c r="A81" s="7" t="s">
        <v>205</v>
      </c>
      <c r="B81" s="18" t="s">
        <v>195</v>
      </c>
      <c r="C81" s="9" t="s">
        <v>36</v>
      </c>
      <c r="D81" s="10" t="s">
        <v>37</v>
      </c>
      <c r="E81" s="11" t="n">
        <v>60</v>
      </c>
      <c r="F81" s="7" t="s">
        <v>198</v>
      </c>
    </row>
    <row r="82" customFormat="false" ht="15" hidden="false" customHeight="false" outlineLevel="0" collapsed="false">
      <c r="A82" s="7" t="s">
        <v>206</v>
      </c>
      <c r="B82" s="18" t="s">
        <v>195</v>
      </c>
      <c r="C82" s="9" t="s">
        <v>36</v>
      </c>
      <c r="D82" s="10" t="s">
        <v>37</v>
      </c>
      <c r="E82" s="11" t="n">
        <v>40</v>
      </c>
      <c r="F82" s="7" t="s">
        <v>198</v>
      </c>
    </row>
    <row r="83" customFormat="false" ht="15" hidden="false" customHeight="false" outlineLevel="0" collapsed="false">
      <c r="A83" s="7" t="s">
        <v>207</v>
      </c>
      <c r="B83" s="18" t="s">
        <v>195</v>
      </c>
      <c r="C83" s="16" t="s">
        <v>119</v>
      </c>
      <c r="D83" s="10" t="s">
        <v>37</v>
      </c>
      <c r="E83" s="11" t="n">
        <v>5000</v>
      </c>
      <c r="F83" s="7" t="s">
        <v>198</v>
      </c>
    </row>
    <row r="84" customFormat="false" ht="15" hidden="false" customHeight="false" outlineLevel="0" collapsed="false">
      <c r="A84" s="7" t="s">
        <v>208</v>
      </c>
      <c r="B84" s="18" t="s">
        <v>195</v>
      </c>
      <c r="C84" s="17" t="s">
        <v>123</v>
      </c>
      <c r="D84" s="10" t="s">
        <v>37</v>
      </c>
      <c r="E84" s="11" t="n">
        <v>2200</v>
      </c>
      <c r="F84" s="7" t="s">
        <v>198</v>
      </c>
    </row>
    <row r="85" customFormat="false" ht="15" hidden="false" customHeight="false" outlineLevel="0" collapsed="false">
      <c r="A85" s="7" t="s">
        <v>209</v>
      </c>
      <c r="B85" s="18" t="s">
        <v>195</v>
      </c>
      <c r="C85" s="16" t="s">
        <v>119</v>
      </c>
      <c r="D85" s="10" t="s">
        <v>37</v>
      </c>
      <c r="E85" s="11" t="n">
        <v>4500</v>
      </c>
      <c r="F85" s="7" t="s">
        <v>198</v>
      </c>
    </row>
    <row r="86" customFormat="false" ht="15" hidden="false" customHeight="false" outlineLevel="0" collapsed="false">
      <c r="A86" s="7" t="s">
        <v>210</v>
      </c>
      <c r="B86" s="18" t="s">
        <v>195</v>
      </c>
      <c r="C86" s="9" t="s">
        <v>36</v>
      </c>
      <c r="D86" s="10" t="s">
        <v>37</v>
      </c>
      <c r="E86" s="11" t="n">
        <v>55</v>
      </c>
      <c r="F86" s="7" t="s">
        <v>198</v>
      </c>
    </row>
    <row r="87" customFormat="false" ht="16.4" hidden="false" customHeight="false" outlineLevel="0" collapsed="false">
      <c r="A87" s="7" t="s">
        <v>211</v>
      </c>
      <c r="B87" s="18" t="s">
        <v>195</v>
      </c>
      <c r="C87" s="12" t="s">
        <v>43</v>
      </c>
      <c r="D87" s="13" t="s">
        <v>212</v>
      </c>
      <c r="E87" s="11" t="n">
        <v>220</v>
      </c>
      <c r="F87" s="7" t="s">
        <v>213</v>
      </c>
    </row>
    <row r="88" customFormat="false" ht="15" hidden="false" customHeight="false" outlineLevel="0" collapsed="false">
      <c r="A88" s="7" t="s">
        <v>214</v>
      </c>
      <c r="B88" s="19" t="s">
        <v>215</v>
      </c>
      <c r="C88" s="16" t="s">
        <v>119</v>
      </c>
      <c r="D88" s="13" t="s">
        <v>216</v>
      </c>
      <c r="E88" s="11" t="n">
        <v>1500</v>
      </c>
      <c r="F88" s="7" t="s">
        <v>217</v>
      </c>
    </row>
    <row r="89" customFormat="false" ht="15" hidden="false" customHeight="false" outlineLevel="0" collapsed="false">
      <c r="A89" s="7" t="s">
        <v>218</v>
      </c>
      <c r="B89" s="19" t="s">
        <v>215</v>
      </c>
      <c r="C89" s="17" t="s">
        <v>123</v>
      </c>
      <c r="D89" s="13" t="s">
        <v>219</v>
      </c>
      <c r="E89" s="11" t="n">
        <v>1300</v>
      </c>
      <c r="F89" s="7" t="s">
        <v>220</v>
      </c>
    </row>
    <row r="90" customFormat="false" ht="16.4" hidden="false" customHeight="false" outlineLevel="0" collapsed="false">
      <c r="A90" s="7" t="s">
        <v>221</v>
      </c>
      <c r="B90" s="19" t="s">
        <v>215</v>
      </c>
      <c r="C90" s="16" t="s">
        <v>119</v>
      </c>
      <c r="D90" s="13" t="s">
        <v>120</v>
      </c>
      <c r="E90" s="11" t="n">
        <v>5000</v>
      </c>
      <c r="F90" s="7"/>
    </row>
    <row r="91" customFormat="false" ht="15" hidden="false" customHeight="false" outlineLevel="0" collapsed="false">
      <c r="A91" s="7" t="s">
        <v>222</v>
      </c>
      <c r="B91" s="19" t="s">
        <v>215</v>
      </c>
      <c r="C91" s="16" t="s">
        <v>119</v>
      </c>
      <c r="D91" s="13" t="s">
        <v>120</v>
      </c>
      <c r="E91" s="11" t="n">
        <v>4000</v>
      </c>
      <c r="F91" s="7" t="s">
        <v>223</v>
      </c>
    </row>
    <row r="92" customFormat="false" ht="15" hidden="false" customHeight="false" outlineLevel="0" collapsed="false">
      <c r="A92" s="7" t="s">
        <v>224</v>
      </c>
      <c r="B92" s="19" t="s">
        <v>215</v>
      </c>
      <c r="C92" s="16" t="s">
        <v>119</v>
      </c>
      <c r="D92" s="13" t="s">
        <v>120</v>
      </c>
      <c r="E92" s="11" t="n">
        <v>4200</v>
      </c>
      <c r="F92" s="7" t="s">
        <v>225</v>
      </c>
    </row>
    <row r="93" customFormat="false" ht="15" hidden="false" customHeight="false" outlineLevel="0" collapsed="false">
      <c r="A93" s="7" t="s">
        <v>226</v>
      </c>
      <c r="B93" s="19" t="s">
        <v>215</v>
      </c>
      <c r="C93" s="14" t="s">
        <v>53</v>
      </c>
      <c r="D93" s="13" t="s">
        <v>227</v>
      </c>
      <c r="E93" s="11" t="n">
        <v>550</v>
      </c>
      <c r="F93" s="7"/>
    </row>
    <row r="94" customFormat="false" ht="16.4" hidden="false" customHeight="false" outlineLevel="0" collapsed="false">
      <c r="A94" s="7" t="s">
        <v>228</v>
      </c>
      <c r="B94" s="19" t="s">
        <v>215</v>
      </c>
      <c r="C94" s="17" t="s">
        <v>123</v>
      </c>
      <c r="D94" s="13" t="s">
        <v>132</v>
      </c>
      <c r="E94" s="11" t="n">
        <v>2000</v>
      </c>
      <c r="F94" s="7" t="s">
        <v>229</v>
      </c>
    </row>
    <row r="95" customFormat="false" ht="15" hidden="false" customHeight="false" outlineLevel="0" collapsed="false">
      <c r="A95" s="7" t="s">
        <v>230</v>
      </c>
      <c r="B95" s="19" t="s">
        <v>215</v>
      </c>
      <c r="C95" s="17" t="s">
        <v>123</v>
      </c>
      <c r="D95" s="13" t="s">
        <v>231</v>
      </c>
      <c r="E95" s="11" t="n">
        <v>1800</v>
      </c>
      <c r="F95" s="7"/>
    </row>
    <row r="96" customFormat="false" ht="15" hidden="false" customHeight="false" outlineLevel="0" collapsed="false">
      <c r="A96" s="7" t="s">
        <v>232</v>
      </c>
      <c r="B96" s="19" t="s">
        <v>215</v>
      </c>
      <c r="C96" s="16" t="s">
        <v>119</v>
      </c>
      <c r="D96" s="13" t="s">
        <v>124</v>
      </c>
      <c r="E96" s="11" t="n">
        <v>3500</v>
      </c>
      <c r="F96" s="7" t="s">
        <v>233</v>
      </c>
    </row>
    <row r="97" customFormat="false" ht="15" hidden="false" customHeight="false" outlineLevel="0" collapsed="false">
      <c r="A97" s="7" t="s">
        <v>234</v>
      </c>
      <c r="B97" s="19" t="s">
        <v>215</v>
      </c>
      <c r="C97" s="14" t="s">
        <v>53</v>
      </c>
      <c r="D97" s="13" t="s">
        <v>129</v>
      </c>
      <c r="E97" s="11" t="n">
        <v>450</v>
      </c>
      <c r="F97" s="7" t="s">
        <v>235</v>
      </c>
    </row>
    <row r="98" customFormat="false" ht="15" hidden="false" customHeight="false" outlineLevel="0" collapsed="false">
      <c r="A98" s="7" t="s">
        <v>236</v>
      </c>
      <c r="B98" s="19" t="s">
        <v>215</v>
      </c>
      <c r="C98" s="17" t="s">
        <v>123</v>
      </c>
      <c r="D98" s="13" t="s">
        <v>129</v>
      </c>
      <c r="E98" s="11" t="n">
        <v>1600</v>
      </c>
      <c r="F98" s="7" t="s">
        <v>237</v>
      </c>
    </row>
    <row r="99" customFormat="false" ht="15" hidden="false" customHeight="false" outlineLevel="0" collapsed="false">
      <c r="A99" s="7" t="s">
        <v>238</v>
      </c>
      <c r="B99" s="19" t="s">
        <v>215</v>
      </c>
      <c r="C99" s="14" t="s">
        <v>53</v>
      </c>
      <c r="D99" s="13" t="s">
        <v>129</v>
      </c>
      <c r="E99" s="11" t="n">
        <v>500</v>
      </c>
      <c r="F99" s="7" t="s">
        <v>239</v>
      </c>
    </row>
    <row r="100" customFormat="false" ht="15" hidden="false" customHeight="false" outlineLevel="0" collapsed="false">
      <c r="A100" s="7" t="s">
        <v>240</v>
      </c>
      <c r="B100" s="19" t="s">
        <v>215</v>
      </c>
      <c r="C100" s="16" t="s">
        <v>119</v>
      </c>
      <c r="D100" s="13" t="s">
        <v>241</v>
      </c>
      <c r="E100" s="11" t="n">
        <v>2800</v>
      </c>
      <c r="F100" s="7" t="s">
        <v>242</v>
      </c>
    </row>
    <row r="101" customFormat="false" ht="15" hidden="false" customHeight="false" outlineLevel="0" collapsed="false">
      <c r="A101" s="7" t="s">
        <v>243</v>
      </c>
      <c r="B101" s="19" t="s">
        <v>215</v>
      </c>
      <c r="C101" s="12" t="s">
        <v>43</v>
      </c>
      <c r="D101" s="13" t="s">
        <v>244</v>
      </c>
      <c r="E101" s="11" t="n">
        <v>280</v>
      </c>
      <c r="F101" s="7"/>
    </row>
    <row r="102" customFormat="false" ht="15" hidden="false" customHeight="false" outlineLevel="0" collapsed="false">
      <c r="A102" s="7" t="s">
        <v>245</v>
      </c>
      <c r="B102" s="19" t="s">
        <v>215</v>
      </c>
      <c r="C102" s="14" t="s">
        <v>53</v>
      </c>
      <c r="D102" s="13" t="s">
        <v>246</v>
      </c>
      <c r="E102" s="11" t="n">
        <v>600</v>
      </c>
      <c r="F102" s="7"/>
    </row>
    <row r="103" customFormat="false" ht="15" hidden="false" customHeight="false" outlineLevel="0" collapsed="false">
      <c r="A103" s="7" t="s">
        <v>247</v>
      </c>
      <c r="B103" s="19" t="s">
        <v>215</v>
      </c>
      <c r="C103" s="17" t="s">
        <v>123</v>
      </c>
      <c r="D103" s="13" t="s">
        <v>82</v>
      </c>
      <c r="E103" s="11" t="n">
        <v>1900</v>
      </c>
      <c r="F103" s="7" t="s">
        <v>248</v>
      </c>
    </row>
    <row r="104" customFormat="false" ht="16.4" hidden="false" customHeight="false" outlineLevel="0" collapsed="false">
      <c r="A104" s="7" t="s">
        <v>249</v>
      </c>
      <c r="B104" s="19" t="s">
        <v>215</v>
      </c>
      <c r="C104" s="14" t="s">
        <v>53</v>
      </c>
      <c r="D104" s="13" t="s">
        <v>82</v>
      </c>
      <c r="E104" s="11" t="n">
        <v>400</v>
      </c>
      <c r="F104" s="7" t="s">
        <v>250</v>
      </c>
    </row>
  </sheetData>
  <autoFilter ref="A1:F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6" t="s">
        <v>251</v>
      </c>
      <c r="B1" s="6" t="s">
        <v>252</v>
      </c>
      <c r="C1" s="6" t="s">
        <v>253</v>
      </c>
    </row>
    <row r="2" customFormat="false" ht="15" hidden="false" customHeight="false" outlineLevel="0" collapsed="false">
      <c r="A2" s="16" t="s">
        <v>119</v>
      </c>
      <c r="B2" s="20" t="n">
        <v>0.001</v>
      </c>
      <c r="C2" s="7" t="s">
        <v>254</v>
      </c>
    </row>
    <row r="3" customFormat="false" ht="15" hidden="false" customHeight="false" outlineLevel="0" collapsed="false">
      <c r="A3" s="17" t="s">
        <v>123</v>
      </c>
      <c r="B3" s="20" t="n">
        <v>0.005</v>
      </c>
      <c r="C3" s="7" t="s">
        <v>255</v>
      </c>
    </row>
    <row r="4" customFormat="false" ht="15" hidden="false" customHeight="false" outlineLevel="0" collapsed="false">
      <c r="A4" s="14" t="s">
        <v>53</v>
      </c>
      <c r="B4" s="20" t="n">
        <v>0.02</v>
      </c>
      <c r="C4" s="7" t="s">
        <v>256</v>
      </c>
    </row>
    <row r="5" customFormat="false" ht="15" hidden="false" customHeight="false" outlineLevel="0" collapsed="false">
      <c r="A5" s="12" t="s">
        <v>43</v>
      </c>
      <c r="B5" s="20" t="n">
        <v>0.06</v>
      </c>
      <c r="C5" s="7" t="s">
        <v>257</v>
      </c>
    </row>
    <row r="6" customFormat="false" ht="15" hidden="false" customHeight="false" outlineLevel="0" collapsed="false">
      <c r="A6" s="21" t="s">
        <v>258</v>
      </c>
      <c r="B6" s="20" t="n">
        <v>0.5</v>
      </c>
      <c r="C6" s="7" t="s">
        <v>259</v>
      </c>
    </row>
    <row r="8" customFormat="false" ht="16.4" hidden="false" customHeight="false" outlineLevel="0" collapsed="false">
      <c r="A8" s="22" t="s">
        <v>260</v>
      </c>
      <c r="B8" s="23" t="n">
        <v>12</v>
      </c>
      <c r="C8" s="7" t="s">
        <v>261</v>
      </c>
    </row>
    <row r="9" customFormat="false" ht="16.4" hidden="false" customHeight="false" outlineLevel="0" collapsed="false">
      <c r="A9" s="22" t="s">
        <v>262</v>
      </c>
      <c r="B9" s="24" t="n">
        <v>0.85</v>
      </c>
      <c r="C9" s="7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6" t="s">
        <v>264</v>
      </c>
      <c r="B1" s="6" t="s">
        <v>28</v>
      </c>
      <c r="C1" s="6" t="s">
        <v>29</v>
      </c>
      <c r="D1" s="6" t="s">
        <v>30</v>
      </c>
      <c r="E1" s="6" t="s">
        <v>32</v>
      </c>
      <c r="F1" s="6" t="s">
        <v>265</v>
      </c>
      <c r="G1" s="6" t="s">
        <v>266</v>
      </c>
      <c r="H1" s="6" t="s">
        <v>267</v>
      </c>
      <c r="I1" s="6" t="s">
        <v>268</v>
      </c>
    </row>
    <row r="2" customFormat="false" ht="16.4" hidden="false" customHeight="false" outlineLevel="0" collapsed="false">
      <c r="A2" s="21" t="s">
        <v>269</v>
      </c>
      <c r="B2" s="21" t="s">
        <v>73</v>
      </c>
      <c r="C2" s="21" t="str">
        <f aca="false">INDEX(矿物图鉴!$B$2:$B$104,MATCH($B2,矿物图鉴!$A$2:$A$104,0))</f>
        <v>工业矿物</v>
      </c>
      <c r="D2" s="21" t="str">
        <f aca="false">INDEX(矿物图鉴!$C$2:$C$104,MATCH($B2,矿物图鉴!$A$2:$A$104,0))</f>
        <v>普通</v>
      </c>
      <c r="E2" s="25" t="n">
        <f aca="false">INDEX(矿物图鉴!$E$2:$E$104,MATCH($B2,矿物图鉴!$A$2:$A$104,0))</f>
        <v>3</v>
      </c>
      <c r="F2" s="21" t="s">
        <v>270</v>
      </c>
      <c r="G2" s="26" t="n">
        <f aca="false">IF($F2="是",稀有度固定概率设置!$B$6,IFERROR(INDEX(稀有度固定概率设置!$B$2:$B$5,MATCH($D2,稀有度固定概率设置!$A$2:$A$5,0)),""))</f>
        <v>0.5</v>
      </c>
      <c r="H2" s="27" t="n">
        <f aca="false">IF($G2&lt;&gt;"",$G2,(1-SUMIF($A$2:$A$111,$A2,$G$2:$G$111))/COUNTIFS($A$2:$A$111,$A2,$D$2:$D$111,"普通",$F$2:$F$111,"否"))</f>
        <v>0.5</v>
      </c>
      <c r="I2" s="28" t="n">
        <f aca="false">H2*E2</f>
        <v>1.5</v>
      </c>
    </row>
    <row r="3" customFormat="false" ht="16.4" hidden="false" customHeight="false" outlineLevel="0" collapsed="false">
      <c r="A3" s="29" t="s">
        <v>269</v>
      </c>
      <c r="B3" s="29" t="s">
        <v>63</v>
      </c>
      <c r="C3" s="13" t="str">
        <f aca="false">INDEX(矿物图鉴!$B$2:$B$104,MATCH($B3,矿物图鉴!$A$2:$A$104,0))</f>
        <v>工业矿物</v>
      </c>
      <c r="D3" s="13" t="str">
        <f aca="false">INDEX(矿物图鉴!$C$2:$C$104,MATCH($B3,矿物图鉴!$A$2:$A$104,0))</f>
        <v>普通</v>
      </c>
      <c r="E3" s="11" t="n">
        <f aca="false">INDEX(矿物图鉴!$E$2:$E$104,MATCH($B3,矿物图鉴!$A$2:$A$104,0))</f>
        <v>5</v>
      </c>
      <c r="F3" s="29" t="s">
        <v>271</v>
      </c>
      <c r="G3" s="30" t="str">
        <f aca="false">IF($F3="是",稀有度固定概率设置!$B$6,IFERROR(INDEX(稀有度固定概率设置!$B$2:$B$5,MATCH($D3,稀有度固定概率设置!$A$2:$A$5,0)),""))</f>
        <v/>
      </c>
      <c r="H3" s="31" t="n">
        <f aca="false">IF($G3&lt;&gt;"",$G3,(1-SUMIF($A$2:$A$111,$A3,$G$2:$G$111))/COUNTIFS($A$2:$A$111,$A3,$D$2:$D$111,"普通",$F$2:$F$111,"否"))</f>
        <v>0.044</v>
      </c>
      <c r="I3" s="32" t="n">
        <f aca="false">H3*E3</f>
        <v>0.22</v>
      </c>
    </row>
    <row r="4" customFormat="false" ht="16.4" hidden="false" customHeight="false" outlineLevel="0" collapsed="false">
      <c r="A4" s="29" t="s">
        <v>269</v>
      </c>
      <c r="B4" s="29" t="s">
        <v>34</v>
      </c>
      <c r="C4" s="13" t="str">
        <f aca="false">INDEX(矿物图鉴!$B$2:$B$104,MATCH($B4,矿物图鉴!$A$2:$A$104,0))</f>
        <v>工业矿物</v>
      </c>
      <c r="D4" s="13" t="str">
        <f aca="false">INDEX(矿物图鉴!$C$2:$C$104,MATCH($B4,矿物图鉴!$A$2:$A$104,0))</f>
        <v>普通</v>
      </c>
      <c r="E4" s="11" t="n">
        <f aca="false">INDEX(矿物图鉴!$E$2:$E$104,MATCH($B4,矿物图鉴!$A$2:$A$104,0))</f>
        <v>8</v>
      </c>
      <c r="F4" s="29" t="s">
        <v>271</v>
      </c>
      <c r="G4" s="30" t="str">
        <f aca="false">IF($F4="是",稀有度固定概率设置!$B$6,IFERROR(INDEX(稀有度固定概率设置!$B$2:$B$5,MATCH($D4,稀有度固定概率设置!$A$2:$A$5,0)),""))</f>
        <v/>
      </c>
      <c r="H4" s="31" t="n">
        <f aca="false">IF($G4&lt;&gt;"",$G4,(1-SUMIF($A$2:$A$111,$A4,$G$2:$G$111))/COUNTIFS($A$2:$A$111,$A4,$D$2:$D$111,"普通",$F$2:$F$111,"否"))</f>
        <v>0.044</v>
      </c>
      <c r="I4" s="32" t="n">
        <f aca="false">H4*E4</f>
        <v>0.352</v>
      </c>
    </row>
    <row r="5" customFormat="false" ht="16.4" hidden="false" customHeight="false" outlineLevel="0" collapsed="false">
      <c r="A5" s="29" t="s">
        <v>269</v>
      </c>
      <c r="B5" s="29" t="s">
        <v>94</v>
      </c>
      <c r="C5" s="13" t="str">
        <f aca="false">INDEX(矿物图鉴!$B$2:$B$104,MATCH($B5,矿物图鉴!$A$2:$A$104,0))</f>
        <v>工业矿物</v>
      </c>
      <c r="D5" s="13" t="str">
        <f aca="false">INDEX(矿物图鉴!$C$2:$C$104,MATCH($B5,矿物图鉴!$A$2:$A$104,0))</f>
        <v>普通</v>
      </c>
      <c r="E5" s="11" t="n">
        <f aca="false">INDEX(矿物图鉴!$E$2:$E$104,MATCH($B5,矿物图鉴!$A$2:$A$104,0))</f>
        <v>4</v>
      </c>
      <c r="F5" s="29" t="s">
        <v>271</v>
      </c>
      <c r="G5" s="30" t="str">
        <f aca="false">IF($F5="是",稀有度固定概率设置!$B$6,IFERROR(INDEX(稀有度固定概率设置!$B$2:$B$5,MATCH($D5,稀有度固定概率设置!$A$2:$A$5,0)),""))</f>
        <v/>
      </c>
      <c r="H5" s="31" t="n">
        <f aca="false">IF($G5&lt;&gt;"",$G5,(1-SUMIF($A$2:$A$111,$A5,$G$2:$G$111))/COUNTIFS($A$2:$A$111,$A5,$D$2:$D$111,"普通",$F$2:$F$111,"否"))</f>
        <v>0.044</v>
      </c>
      <c r="I5" s="32" t="n">
        <f aca="false">H5*E5</f>
        <v>0.176</v>
      </c>
    </row>
    <row r="6" customFormat="false" ht="16.4" hidden="false" customHeight="false" outlineLevel="0" collapsed="false">
      <c r="A6" s="29" t="s">
        <v>269</v>
      </c>
      <c r="B6" s="29" t="s">
        <v>75</v>
      </c>
      <c r="C6" s="13" t="str">
        <f aca="false">INDEX(矿物图鉴!$B$2:$B$104,MATCH($B6,矿物图鉴!$A$2:$A$104,0))</f>
        <v>工业矿物</v>
      </c>
      <c r="D6" s="13" t="str">
        <f aca="false">INDEX(矿物图鉴!$C$2:$C$104,MATCH($B6,矿物图鉴!$A$2:$A$104,0))</f>
        <v>普通</v>
      </c>
      <c r="E6" s="11" t="n">
        <f aca="false">INDEX(矿物图鉴!$E$2:$E$104,MATCH($B6,矿物图鉴!$A$2:$A$104,0))</f>
        <v>4</v>
      </c>
      <c r="F6" s="29" t="s">
        <v>271</v>
      </c>
      <c r="G6" s="30" t="str">
        <f aca="false">IF($F6="是",稀有度固定概率设置!$B$6,IFERROR(INDEX(稀有度固定概率设置!$B$2:$B$5,MATCH($D6,稀有度固定概率设置!$A$2:$A$5,0)),""))</f>
        <v/>
      </c>
      <c r="H6" s="31" t="n">
        <f aca="false">IF($G6&lt;&gt;"",$G6,(1-SUMIF($A$2:$A$111,$A6,$G$2:$G$111))/COUNTIFS($A$2:$A$111,$A6,$D$2:$D$111,"普通",$F$2:$F$111,"否"))</f>
        <v>0.044</v>
      </c>
      <c r="I6" s="32" t="n">
        <f aca="false">H6*E6</f>
        <v>0.176</v>
      </c>
    </row>
    <row r="7" customFormat="false" ht="16.4" hidden="false" customHeight="false" outlineLevel="0" collapsed="false">
      <c r="A7" s="29" t="s">
        <v>269</v>
      </c>
      <c r="B7" s="29" t="s">
        <v>98</v>
      </c>
      <c r="C7" s="13" t="str">
        <f aca="false">INDEX(矿物图鉴!$B$2:$B$104,MATCH($B7,矿物图鉴!$A$2:$A$104,0))</f>
        <v>工业矿物</v>
      </c>
      <c r="D7" s="13" t="str">
        <f aca="false">INDEX(矿物图鉴!$C$2:$C$104,MATCH($B7,矿物图鉴!$A$2:$A$104,0))</f>
        <v>普通</v>
      </c>
      <c r="E7" s="11" t="n">
        <f aca="false">INDEX(矿物图鉴!$E$2:$E$104,MATCH($B7,矿物图鉴!$A$2:$A$104,0))</f>
        <v>7</v>
      </c>
      <c r="F7" s="29" t="s">
        <v>271</v>
      </c>
      <c r="G7" s="30" t="str">
        <f aca="false">IF($F7="是",稀有度固定概率设置!$B$6,IFERROR(INDEX(稀有度固定概率设置!$B$2:$B$5,MATCH($D7,稀有度固定概率设置!$A$2:$A$5,0)),""))</f>
        <v/>
      </c>
      <c r="H7" s="31" t="n">
        <f aca="false">IF($G7&lt;&gt;"",$G7,(1-SUMIF($A$2:$A$111,$A7,$G$2:$G$111))/COUNTIFS($A$2:$A$111,$A7,$D$2:$D$111,"普通",$F$2:$F$111,"否"))</f>
        <v>0.044</v>
      </c>
      <c r="I7" s="32" t="n">
        <f aca="false">H7*E7</f>
        <v>0.308</v>
      </c>
    </row>
    <row r="8" customFormat="false" ht="16.4" hidden="false" customHeight="false" outlineLevel="0" collapsed="false">
      <c r="A8" s="29" t="s">
        <v>269</v>
      </c>
      <c r="B8" s="29" t="s">
        <v>183</v>
      </c>
      <c r="C8" s="13" t="str">
        <f aca="false">INDEX(矿物图鉴!$B$2:$B$104,MATCH($B8,矿物图鉴!$A$2:$A$104,0))</f>
        <v>常见宝石矿物</v>
      </c>
      <c r="D8" s="13" t="str">
        <f aca="false">INDEX(矿物图鉴!$C$2:$C$104,MATCH($B8,矿物图鉴!$A$2:$A$104,0))</f>
        <v>普通</v>
      </c>
      <c r="E8" s="11" t="n">
        <f aca="false">INDEX(矿物图鉴!$E$2:$E$104,MATCH($B8,矿物图鉴!$A$2:$A$104,0))</f>
        <v>40</v>
      </c>
      <c r="F8" s="29" t="s">
        <v>271</v>
      </c>
      <c r="G8" s="30" t="str">
        <f aca="false">IF($F8="是",稀有度固定概率设置!$B$6,IFERROR(INDEX(稀有度固定概率设置!$B$2:$B$5,MATCH($D8,稀有度固定概率设置!$A$2:$A$5,0)),""))</f>
        <v/>
      </c>
      <c r="H8" s="31" t="n">
        <f aca="false">IF($G8&lt;&gt;"",$G8,(1-SUMIF($A$2:$A$111,$A8,$G$2:$G$111))/COUNTIFS($A$2:$A$111,$A8,$D$2:$D$111,"普通",$F$2:$F$111,"否"))</f>
        <v>0.044</v>
      </c>
      <c r="I8" s="32" t="n">
        <f aca="false">H8*E8</f>
        <v>1.76</v>
      </c>
    </row>
    <row r="9" customFormat="false" ht="16.4" hidden="false" customHeight="false" outlineLevel="0" collapsed="false">
      <c r="A9" s="29" t="s">
        <v>269</v>
      </c>
      <c r="B9" s="29" t="s">
        <v>166</v>
      </c>
      <c r="C9" s="13" t="str">
        <f aca="false">INDEX(矿物图鉴!$B$2:$B$104,MATCH($B9,矿物图鉴!$A$2:$A$104,0))</f>
        <v>常见宝石矿物</v>
      </c>
      <c r="D9" s="13" t="str">
        <f aca="false">INDEX(矿物图鉴!$C$2:$C$104,MATCH($B9,矿物图鉴!$A$2:$A$104,0))</f>
        <v>普通</v>
      </c>
      <c r="E9" s="11" t="n">
        <f aca="false">INDEX(矿物图鉴!$E$2:$E$104,MATCH($B9,矿物图鉴!$A$2:$A$104,0))</f>
        <v>25</v>
      </c>
      <c r="F9" s="29" t="s">
        <v>271</v>
      </c>
      <c r="G9" s="30" t="str">
        <f aca="false">IF($F9="是",稀有度固定概率设置!$B$6,IFERROR(INDEX(稀有度固定概率设置!$B$2:$B$5,MATCH($D9,稀有度固定概率设置!$A$2:$A$5,0)),""))</f>
        <v/>
      </c>
      <c r="H9" s="31" t="n">
        <f aca="false">IF($G9&lt;&gt;"",$G9,(1-SUMIF($A$2:$A$111,$A9,$G$2:$G$111))/COUNTIFS($A$2:$A$111,$A9,$D$2:$D$111,"普通",$F$2:$F$111,"否"))</f>
        <v>0.044</v>
      </c>
      <c r="I9" s="32" t="n">
        <f aca="false">H9*E9</f>
        <v>1.1</v>
      </c>
    </row>
    <row r="10" customFormat="false" ht="16.4" hidden="false" customHeight="false" outlineLevel="0" collapsed="false">
      <c r="A10" s="29" t="s">
        <v>269</v>
      </c>
      <c r="B10" s="29" t="s">
        <v>206</v>
      </c>
      <c r="C10" s="13" t="str">
        <f aca="false">INDEX(矿物图鉴!$B$2:$B$104,MATCH($B10,矿物图鉴!$A$2:$A$104,0))</f>
        <v>化石</v>
      </c>
      <c r="D10" s="13" t="str">
        <f aca="false">INDEX(矿物图鉴!$C$2:$C$104,MATCH($B10,矿物图鉴!$A$2:$A$104,0))</f>
        <v>普通</v>
      </c>
      <c r="E10" s="11" t="n">
        <f aca="false">INDEX(矿物图鉴!$E$2:$E$104,MATCH($B10,矿物图鉴!$A$2:$A$104,0))</f>
        <v>40</v>
      </c>
      <c r="F10" s="29" t="s">
        <v>271</v>
      </c>
      <c r="G10" s="30" t="str">
        <f aca="false">IF($F10="是",稀有度固定概率设置!$B$6,IFERROR(INDEX(稀有度固定概率设置!$B$2:$B$5,MATCH($D10,稀有度固定概率设置!$A$2:$A$5,0)),""))</f>
        <v/>
      </c>
      <c r="H10" s="31" t="n">
        <f aca="false">IF($G10&lt;&gt;"",$G10,(1-SUMIF($A$2:$A$111,$A10,$G$2:$G$111))/COUNTIFS($A$2:$A$111,$A10,$D$2:$D$111,"普通",$F$2:$F$111,"否"))</f>
        <v>0.044</v>
      </c>
      <c r="I10" s="32" t="n">
        <f aca="false">H10*E10</f>
        <v>1.76</v>
      </c>
    </row>
    <row r="11" customFormat="false" ht="16.4" hidden="false" customHeight="false" outlineLevel="0" collapsed="false">
      <c r="A11" s="29" t="s">
        <v>269</v>
      </c>
      <c r="B11" s="29" t="s">
        <v>205</v>
      </c>
      <c r="C11" s="13" t="str">
        <f aca="false">INDEX(矿物图鉴!$B$2:$B$104,MATCH($B11,矿物图鉴!$A$2:$A$104,0))</f>
        <v>化石</v>
      </c>
      <c r="D11" s="13" t="str">
        <f aca="false">INDEX(矿物图鉴!$C$2:$C$104,MATCH($B11,矿物图鉴!$A$2:$A$104,0))</f>
        <v>普通</v>
      </c>
      <c r="E11" s="11" t="n">
        <f aca="false">INDEX(矿物图鉴!$E$2:$E$104,MATCH($B11,矿物图鉴!$A$2:$A$104,0))</f>
        <v>60</v>
      </c>
      <c r="F11" s="29" t="s">
        <v>271</v>
      </c>
      <c r="G11" s="30" t="str">
        <f aca="false">IF($F11="是",稀有度固定概率设置!$B$6,IFERROR(INDEX(稀有度固定概率设置!$B$2:$B$5,MATCH($D11,稀有度固定概率设置!$A$2:$A$5,0)),""))</f>
        <v/>
      </c>
      <c r="H11" s="31" t="n">
        <f aca="false">IF($G11&lt;&gt;"",$G11,(1-SUMIF($A$2:$A$111,$A11,$G$2:$G$111))/COUNTIFS($A$2:$A$111,$A11,$D$2:$D$111,"普通",$F$2:$F$111,"否"))</f>
        <v>0.044</v>
      </c>
      <c r="I11" s="32" t="n">
        <f aca="false">H11*E11</f>
        <v>2.64</v>
      </c>
    </row>
    <row r="12" customFormat="false" ht="16.4" hidden="false" customHeight="false" outlineLevel="0" collapsed="false">
      <c r="A12" s="29" t="s">
        <v>269</v>
      </c>
      <c r="B12" s="29" t="s">
        <v>210</v>
      </c>
      <c r="C12" s="13" t="str">
        <f aca="false">INDEX(矿物图鉴!$B$2:$B$104,MATCH($B12,矿物图鉴!$A$2:$A$104,0))</f>
        <v>化石</v>
      </c>
      <c r="D12" s="13" t="str">
        <f aca="false">INDEX(矿物图鉴!$C$2:$C$104,MATCH($B12,矿物图鉴!$A$2:$A$104,0))</f>
        <v>普通</v>
      </c>
      <c r="E12" s="11" t="n">
        <f aca="false">INDEX(矿物图鉴!$E$2:$E$104,MATCH($B12,矿物图鉴!$A$2:$A$104,0))</f>
        <v>55</v>
      </c>
      <c r="F12" s="29" t="s">
        <v>271</v>
      </c>
      <c r="G12" s="30" t="str">
        <f aca="false">IF($F12="是",稀有度固定概率设置!$B$6,IFERROR(INDEX(稀有度固定概率设置!$B$2:$B$5,MATCH($D12,稀有度固定概率设置!$A$2:$A$5,0)),""))</f>
        <v/>
      </c>
      <c r="H12" s="31" t="n">
        <f aca="false">IF($G12&lt;&gt;"",$G12,(1-SUMIF($A$2:$A$111,$A12,$G$2:$G$111))/COUNTIFS($A$2:$A$111,$A12,$D$2:$D$111,"普通",$F$2:$F$111,"否"))</f>
        <v>0.044</v>
      </c>
      <c r="I12" s="32" t="n">
        <f aca="false">H12*E12</f>
        <v>2.42</v>
      </c>
    </row>
    <row r="13" customFormat="false" ht="16.4" hidden="false" customHeight="false" outlineLevel="0" collapsed="false">
      <c r="A13" s="29" t="s">
        <v>269</v>
      </c>
      <c r="B13" s="29" t="s">
        <v>243</v>
      </c>
      <c r="C13" s="13" t="str">
        <f aca="false">INDEX(矿物图鉴!$B$2:$B$104,MATCH($B13,矿物图鉴!$A$2:$A$104,0))</f>
        <v>珍稀晶体矿物</v>
      </c>
      <c r="D13" s="13" t="str">
        <f aca="false">INDEX(矿物图鉴!$C$2:$C$104,MATCH($B13,矿物图鉴!$A$2:$A$104,0))</f>
        <v>少见</v>
      </c>
      <c r="E13" s="11" t="n">
        <f aca="false">INDEX(矿物图鉴!$E$2:$E$104,MATCH($B13,矿物图鉴!$A$2:$A$104,0))</f>
        <v>280</v>
      </c>
      <c r="F13" s="29" t="s">
        <v>271</v>
      </c>
      <c r="G13" s="30" t="n">
        <f aca="false">IF($F13="是",稀有度固定概率设置!$B$6,IFERROR(INDEX(稀有度固定概率设置!$B$2:$B$5,MATCH($D13,稀有度固定概率设置!$A$2:$A$5,0)),""))</f>
        <v>0.06</v>
      </c>
      <c r="H13" s="31" t="n">
        <f aca="false">IF($G13&lt;&gt;"",$G13,(1-SUMIF($A$2:$A$111,$A13,$G$2:$G$111))/COUNTIFS($A$2:$A$111,$A13,$D$2:$D$111,"普通",$F$2:$F$111,"否"))</f>
        <v>0.06</v>
      </c>
      <c r="I13" s="32" t="n">
        <f aca="false">H13*E13</f>
        <v>16.8</v>
      </c>
    </row>
    <row r="14" customFormat="false" ht="16.4" hidden="false" customHeight="false" outlineLevel="0" collapsed="false">
      <c r="A14" s="33" t="s">
        <v>272</v>
      </c>
      <c r="B14" s="34"/>
      <c r="C14" s="34"/>
      <c r="D14" s="34"/>
      <c r="E14" s="34"/>
      <c r="F14" s="34"/>
      <c r="G14" s="34"/>
      <c r="H14" s="35" t="n">
        <f aca="false">SUM(H2:H13)</f>
        <v>1</v>
      </c>
      <c r="I14" s="36" t="n">
        <f aca="false">SUM(I2:I13)</f>
        <v>29.212</v>
      </c>
    </row>
    <row r="15" customFormat="false" ht="16.4" hidden="false" customHeight="false" outlineLevel="0" collapsed="false">
      <c r="A15" s="21" t="s">
        <v>273</v>
      </c>
      <c r="B15" s="21" t="s">
        <v>77</v>
      </c>
      <c r="C15" s="21" t="str">
        <f aca="false">INDEX(矿物图鉴!$B$2:$B$104,MATCH($B15,矿物图鉴!$A$2:$A$104,0))</f>
        <v>工业矿物</v>
      </c>
      <c r="D15" s="21" t="str">
        <f aca="false">INDEX(矿物图鉴!$C$2:$C$104,MATCH($B15,矿物图鉴!$A$2:$A$104,0))</f>
        <v>普通</v>
      </c>
      <c r="E15" s="25" t="n">
        <f aca="false">INDEX(矿物图鉴!$E$2:$E$104,MATCH($B15,矿物图鉴!$A$2:$A$104,0))</f>
        <v>8</v>
      </c>
      <c r="F15" s="21" t="s">
        <v>270</v>
      </c>
      <c r="G15" s="26" t="n">
        <f aca="false">IF($F15="是",稀有度固定概率设置!$B$6,IFERROR(INDEX(稀有度固定概率设置!$B$2:$B$5,MATCH($D15,稀有度固定概率设置!$A$2:$A$5,0)),""))</f>
        <v>0.5</v>
      </c>
      <c r="H15" s="27" t="n">
        <f aca="false">IF($G15&lt;&gt;"",$G15,(1-SUMIF($A$2:$A$111,$A15,$G$2:$G$111))/COUNTIFS($A$2:$A$111,$A15,$D$2:$D$111,"普通",$F$2:$F$111,"否"))</f>
        <v>0.5</v>
      </c>
      <c r="I15" s="28" t="n">
        <f aca="false">H15*E15</f>
        <v>4</v>
      </c>
    </row>
    <row r="16" customFormat="false" ht="16.4" hidden="false" customHeight="false" outlineLevel="0" collapsed="false">
      <c r="A16" s="29" t="s">
        <v>273</v>
      </c>
      <c r="B16" s="29" t="s">
        <v>39</v>
      </c>
      <c r="C16" s="13" t="str">
        <f aca="false">INDEX(矿物图鉴!$B$2:$B$104,MATCH($B16,矿物图鉴!$A$2:$A$104,0))</f>
        <v>工业矿物</v>
      </c>
      <c r="D16" s="13" t="str">
        <f aca="false">INDEX(矿物图鉴!$C$2:$C$104,MATCH($B16,矿物图鉴!$A$2:$A$104,0))</f>
        <v>普通</v>
      </c>
      <c r="E16" s="11" t="n">
        <f aca="false">INDEX(矿物图鉴!$E$2:$E$104,MATCH($B16,矿物图鉴!$A$2:$A$104,0))</f>
        <v>12</v>
      </c>
      <c r="F16" s="29" t="s">
        <v>271</v>
      </c>
      <c r="G16" s="30" t="str">
        <f aca="false">IF($F16="是",稀有度固定概率设置!$B$6,IFERROR(INDEX(稀有度固定概率设置!$B$2:$B$5,MATCH($D16,稀有度固定概率设置!$A$2:$A$5,0)),""))</f>
        <v/>
      </c>
      <c r="H16" s="31" t="n">
        <f aca="false">IF($G16&lt;&gt;"",$G16,(1-SUMIF($A$2:$A$111,$A16,$G$2:$G$111))/COUNTIFS($A$2:$A$111,$A16,$D$2:$D$111,"普通",$F$2:$F$111,"否"))</f>
        <v>0.043</v>
      </c>
      <c r="I16" s="32" t="n">
        <f aca="false">H16*E16</f>
        <v>0.516</v>
      </c>
    </row>
    <row r="17" customFormat="false" ht="16.4" hidden="false" customHeight="false" outlineLevel="0" collapsed="false">
      <c r="A17" s="29" t="s">
        <v>273</v>
      </c>
      <c r="B17" s="29" t="s">
        <v>42</v>
      </c>
      <c r="C17" s="13" t="str">
        <f aca="false">INDEX(矿物图鉴!$B$2:$B$104,MATCH($B17,矿物图鉴!$A$2:$A$104,0))</f>
        <v>工业矿物</v>
      </c>
      <c r="D17" s="13" t="str">
        <f aca="false">INDEX(矿物图鉴!$C$2:$C$104,MATCH($B17,矿物图鉴!$A$2:$A$104,0))</f>
        <v>少见</v>
      </c>
      <c r="E17" s="11" t="n">
        <f aca="false">INDEX(矿物图鉴!$E$2:$E$104,MATCH($B17,矿物图鉴!$A$2:$A$104,0))</f>
        <v>20</v>
      </c>
      <c r="F17" s="29" t="s">
        <v>271</v>
      </c>
      <c r="G17" s="30" t="n">
        <f aca="false">IF($F17="是",稀有度固定概率设置!$B$6,IFERROR(INDEX(稀有度固定概率设置!$B$2:$B$5,MATCH($D17,稀有度固定概率设置!$A$2:$A$5,0)),""))</f>
        <v>0.06</v>
      </c>
      <c r="H17" s="31" t="n">
        <f aca="false">IF($G17&lt;&gt;"",$G17,(1-SUMIF($A$2:$A$111,$A17,$G$2:$G$111))/COUNTIFS($A$2:$A$111,$A17,$D$2:$D$111,"普通",$F$2:$F$111,"否"))</f>
        <v>0.06</v>
      </c>
      <c r="I17" s="32" t="n">
        <f aca="false">H17*E17</f>
        <v>1.2</v>
      </c>
    </row>
    <row r="18" customFormat="false" ht="16.4" hidden="false" customHeight="false" outlineLevel="0" collapsed="false">
      <c r="A18" s="29" t="s">
        <v>273</v>
      </c>
      <c r="B18" s="29" t="s">
        <v>98</v>
      </c>
      <c r="C18" s="13" t="str">
        <f aca="false">INDEX(矿物图鉴!$B$2:$B$104,MATCH($B18,矿物图鉴!$A$2:$A$104,0))</f>
        <v>工业矿物</v>
      </c>
      <c r="D18" s="13" t="str">
        <f aca="false">INDEX(矿物图鉴!$C$2:$C$104,MATCH($B18,矿物图鉴!$A$2:$A$104,0))</f>
        <v>普通</v>
      </c>
      <c r="E18" s="11" t="n">
        <f aca="false">INDEX(矿物图鉴!$E$2:$E$104,MATCH($B18,矿物图鉴!$A$2:$A$104,0))</f>
        <v>7</v>
      </c>
      <c r="F18" s="29" t="s">
        <v>271</v>
      </c>
      <c r="G18" s="30" t="str">
        <f aca="false">IF($F18="是",稀有度固定概率设置!$B$6,IFERROR(INDEX(稀有度固定概率设置!$B$2:$B$5,MATCH($D18,稀有度固定概率设置!$A$2:$A$5,0)),""))</f>
        <v/>
      </c>
      <c r="H18" s="31" t="n">
        <f aca="false">IF($G18&lt;&gt;"",$G18,(1-SUMIF($A$2:$A$111,$A18,$G$2:$G$111))/COUNTIFS($A$2:$A$111,$A18,$D$2:$D$111,"普通",$F$2:$F$111,"否"))</f>
        <v>0.043</v>
      </c>
      <c r="I18" s="32" t="n">
        <f aca="false">H18*E18</f>
        <v>0.301</v>
      </c>
    </row>
    <row r="19" customFormat="false" ht="16.4" hidden="false" customHeight="false" outlineLevel="0" collapsed="false">
      <c r="A19" s="29" t="s">
        <v>273</v>
      </c>
      <c r="B19" s="29" t="s">
        <v>81</v>
      </c>
      <c r="C19" s="13" t="str">
        <f aca="false">INDEX(矿物图鉴!$B$2:$B$104,MATCH($B19,矿物图鉴!$A$2:$A$104,0))</f>
        <v>工业矿物</v>
      </c>
      <c r="D19" s="13" t="str">
        <f aca="false">INDEX(矿物图鉴!$C$2:$C$104,MATCH($B19,矿物图鉴!$A$2:$A$104,0))</f>
        <v>普通</v>
      </c>
      <c r="E19" s="11" t="n">
        <f aca="false">INDEX(矿物图鉴!$E$2:$E$104,MATCH($B19,矿物图鉴!$A$2:$A$104,0))</f>
        <v>12</v>
      </c>
      <c r="F19" s="29" t="s">
        <v>271</v>
      </c>
      <c r="G19" s="30" t="str">
        <f aca="false">IF($F19="是",稀有度固定概率设置!$B$6,IFERROR(INDEX(稀有度固定概率设置!$B$2:$B$5,MATCH($D19,稀有度固定概率设置!$A$2:$A$5,0)),""))</f>
        <v/>
      </c>
      <c r="H19" s="31" t="n">
        <f aca="false">IF($G19&lt;&gt;"",$G19,(1-SUMIF($A$2:$A$111,$A19,$G$2:$G$111))/COUNTIFS($A$2:$A$111,$A19,$D$2:$D$111,"普通",$F$2:$F$111,"否"))</f>
        <v>0.043</v>
      </c>
      <c r="I19" s="32" t="n">
        <f aca="false">H19*E19</f>
        <v>0.516</v>
      </c>
    </row>
    <row r="20" customFormat="false" ht="16.4" hidden="false" customHeight="false" outlineLevel="0" collapsed="false">
      <c r="A20" s="29" t="s">
        <v>273</v>
      </c>
      <c r="B20" s="29" t="s">
        <v>142</v>
      </c>
      <c r="C20" s="13" t="str">
        <f aca="false">INDEX(矿物图鉴!$B$2:$B$104,MATCH($B20,矿物图鉴!$A$2:$A$104,0))</f>
        <v>常见宝石矿物</v>
      </c>
      <c r="D20" s="13" t="str">
        <f aca="false">INDEX(矿物图鉴!$C$2:$C$104,MATCH($B20,矿物图鉴!$A$2:$A$104,0))</f>
        <v>少见</v>
      </c>
      <c r="E20" s="11" t="n">
        <f aca="false">INDEX(矿物图鉴!$E$2:$E$104,MATCH($B20,矿物图鉴!$A$2:$A$104,0))</f>
        <v>150</v>
      </c>
      <c r="F20" s="29" t="s">
        <v>271</v>
      </c>
      <c r="G20" s="30" t="n">
        <f aca="false">IF($F20="是",稀有度固定概率设置!$B$6,IFERROR(INDEX(稀有度固定概率设置!$B$2:$B$5,MATCH($D20,稀有度固定概率设置!$A$2:$A$5,0)),""))</f>
        <v>0.06</v>
      </c>
      <c r="H20" s="31" t="n">
        <f aca="false">IF($G20&lt;&gt;"",$G20,(1-SUMIF($A$2:$A$111,$A20,$G$2:$G$111))/COUNTIFS($A$2:$A$111,$A20,$D$2:$D$111,"普通",$F$2:$F$111,"否"))</f>
        <v>0.06</v>
      </c>
      <c r="I20" s="32" t="n">
        <f aca="false">H20*E20</f>
        <v>9</v>
      </c>
    </row>
    <row r="21" customFormat="false" ht="16.4" hidden="false" customHeight="false" outlineLevel="0" collapsed="false">
      <c r="A21" s="29" t="s">
        <v>273</v>
      </c>
      <c r="B21" s="29" t="s">
        <v>162</v>
      </c>
      <c r="C21" s="13" t="str">
        <f aca="false">INDEX(矿物图鉴!$B$2:$B$104,MATCH($B21,矿物图鉴!$A$2:$A$104,0))</f>
        <v>常见宝石矿物</v>
      </c>
      <c r="D21" s="13" t="str">
        <f aca="false">INDEX(矿物图鉴!$C$2:$C$104,MATCH($B21,矿物图鉴!$A$2:$A$104,0))</f>
        <v>普通</v>
      </c>
      <c r="E21" s="11" t="n">
        <f aca="false">INDEX(矿物图鉴!$E$2:$E$104,MATCH($B21,矿物图鉴!$A$2:$A$104,0))</f>
        <v>30</v>
      </c>
      <c r="F21" s="29" t="s">
        <v>271</v>
      </c>
      <c r="G21" s="30" t="str">
        <f aca="false">IF($F21="是",稀有度固定概率设置!$B$6,IFERROR(INDEX(稀有度固定概率设置!$B$2:$B$5,MATCH($D21,稀有度固定概率设置!$A$2:$A$5,0)),""))</f>
        <v/>
      </c>
      <c r="H21" s="31" t="n">
        <f aca="false">IF($G21&lt;&gt;"",$G21,(1-SUMIF($A$2:$A$111,$A21,$G$2:$G$111))/COUNTIFS($A$2:$A$111,$A21,$D$2:$D$111,"普通",$F$2:$F$111,"否"))</f>
        <v>0.043</v>
      </c>
      <c r="I21" s="32" t="n">
        <f aca="false">H21*E21</f>
        <v>1.29</v>
      </c>
    </row>
    <row r="22" customFormat="false" ht="16.4" hidden="false" customHeight="false" outlineLevel="0" collapsed="false">
      <c r="A22" s="29" t="s">
        <v>273</v>
      </c>
      <c r="B22" s="29" t="s">
        <v>166</v>
      </c>
      <c r="C22" s="13" t="str">
        <f aca="false">INDEX(矿物图鉴!$B$2:$B$104,MATCH($B22,矿物图鉴!$A$2:$A$104,0))</f>
        <v>常见宝石矿物</v>
      </c>
      <c r="D22" s="13" t="str">
        <f aca="false">INDEX(矿物图鉴!$C$2:$C$104,MATCH($B22,矿物图鉴!$A$2:$A$104,0))</f>
        <v>普通</v>
      </c>
      <c r="E22" s="11" t="n">
        <f aca="false">INDEX(矿物图鉴!$E$2:$E$104,MATCH($B22,矿物图鉴!$A$2:$A$104,0))</f>
        <v>25</v>
      </c>
      <c r="F22" s="29" t="s">
        <v>271</v>
      </c>
      <c r="G22" s="30" t="str">
        <f aca="false">IF($F22="是",稀有度固定概率设置!$B$6,IFERROR(INDEX(稀有度固定概率设置!$B$2:$B$5,MATCH($D22,稀有度固定概率设置!$A$2:$A$5,0)),""))</f>
        <v/>
      </c>
      <c r="H22" s="31" t="n">
        <f aca="false">IF($G22&lt;&gt;"",$G22,(1-SUMIF($A$2:$A$111,$A22,$G$2:$G$111))/COUNTIFS($A$2:$A$111,$A22,$D$2:$D$111,"普通",$F$2:$F$111,"否"))</f>
        <v>0.043</v>
      </c>
      <c r="I22" s="32" t="n">
        <f aca="false">H22*E22</f>
        <v>1.075</v>
      </c>
    </row>
    <row r="23" customFormat="false" ht="16.4" hidden="false" customHeight="false" outlineLevel="0" collapsed="false">
      <c r="A23" s="29" t="s">
        <v>273</v>
      </c>
      <c r="B23" s="29" t="s">
        <v>226</v>
      </c>
      <c r="C23" s="13" t="str">
        <f aca="false">INDEX(矿物图鉴!$B$2:$B$104,MATCH($B23,矿物图鉴!$A$2:$A$104,0))</f>
        <v>珍稀晶体矿物</v>
      </c>
      <c r="D23" s="13" t="str">
        <f aca="false">INDEX(矿物图鉴!$C$2:$C$104,MATCH($B23,矿物图鉴!$A$2:$A$104,0))</f>
        <v>稀有</v>
      </c>
      <c r="E23" s="11" t="n">
        <f aca="false">INDEX(矿物图鉴!$E$2:$E$104,MATCH($B23,矿物图鉴!$A$2:$A$104,0))</f>
        <v>550</v>
      </c>
      <c r="F23" s="29" t="s">
        <v>271</v>
      </c>
      <c r="G23" s="30" t="n">
        <f aca="false">IF($F23="是",稀有度固定概率设置!$B$6,IFERROR(INDEX(稀有度固定概率设置!$B$2:$B$5,MATCH($D23,稀有度固定概率设置!$A$2:$A$5,0)),""))</f>
        <v>0.02</v>
      </c>
      <c r="H23" s="31" t="n">
        <f aca="false">IF($G23&lt;&gt;"",$G23,(1-SUMIF($A$2:$A$111,$A23,$G$2:$G$111))/COUNTIFS($A$2:$A$111,$A23,$D$2:$D$111,"普通",$F$2:$F$111,"否"))</f>
        <v>0.02</v>
      </c>
      <c r="I23" s="32" t="n">
        <f aca="false">H23*E23</f>
        <v>11</v>
      </c>
    </row>
    <row r="24" customFormat="false" ht="16.4" hidden="false" customHeight="false" outlineLevel="0" collapsed="false">
      <c r="A24" s="29" t="s">
        <v>273</v>
      </c>
      <c r="B24" s="29" t="s">
        <v>245</v>
      </c>
      <c r="C24" s="13" t="str">
        <f aca="false">INDEX(矿物图鉴!$B$2:$B$104,MATCH($B24,矿物图鉴!$A$2:$A$104,0))</f>
        <v>珍稀晶体矿物</v>
      </c>
      <c r="D24" s="13" t="str">
        <f aca="false">INDEX(矿物图鉴!$C$2:$C$104,MATCH($B24,矿物图鉴!$A$2:$A$104,0))</f>
        <v>稀有</v>
      </c>
      <c r="E24" s="11" t="n">
        <f aca="false">INDEX(矿物图鉴!$E$2:$E$104,MATCH($B24,矿物图鉴!$A$2:$A$104,0))</f>
        <v>600</v>
      </c>
      <c r="F24" s="29" t="s">
        <v>271</v>
      </c>
      <c r="G24" s="30" t="n">
        <f aca="false">IF($F24="是",稀有度固定概率设置!$B$6,IFERROR(INDEX(稀有度固定概率设置!$B$2:$B$5,MATCH($D24,稀有度固定概率设置!$A$2:$A$5,0)),""))</f>
        <v>0.02</v>
      </c>
      <c r="H24" s="31" t="n">
        <f aca="false">IF($G24&lt;&gt;"",$G24,(1-SUMIF($A$2:$A$111,$A24,$G$2:$G$111))/COUNTIFS($A$2:$A$111,$A24,$D$2:$D$111,"普通",$F$2:$F$111,"否"))</f>
        <v>0.02</v>
      </c>
      <c r="I24" s="32" t="n">
        <f aca="false">H24*E24</f>
        <v>12</v>
      </c>
    </row>
    <row r="25" customFormat="false" ht="16.4" hidden="false" customHeight="false" outlineLevel="0" collapsed="false">
      <c r="A25" s="29" t="s">
        <v>273</v>
      </c>
      <c r="B25" s="29" t="s">
        <v>194</v>
      </c>
      <c r="C25" s="13" t="str">
        <f aca="false">INDEX(矿物图鉴!$B$2:$B$104,MATCH($B25,矿物图鉴!$A$2:$A$104,0))</f>
        <v>化石</v>
      </c>
      <c r="D25" s="13" t="str">
        <f aca="false">INDEX(矿物图鉴!$C$2:$C$104,MATCH($B25,矿物图鉴!$A$2:$A$104,0))</f>
        <v>少见</v>
      </c>
      <c r="E25" s="11" t="n">
        <f aca="false">INDEX(矿物图鉴!$E$2:$E$104,MATCH($B25,矿物图鉴!$A$2:$A$104,0))</f>
        <v>200</v>
      </c>
      <c r="F25" s="29" t="s">
        <v>271</v>
      </c>
      <c r="G25" s="30" t="n">
        <f aca="false">IF($F25="是",稀有度固定概率设置!$B$6,IFERROR(INDEX(稀有度固定概率设置!$B$2:$B$5,MATCH($D25,稀有度固定概率设置!$A$2:$A$5,0)),""))</f>
        <v>0.06</v>
      </c>
      <c r="H25" s="31" t="n">
        <f aca="false">IF($G25&lt;&gt;"",$G25,(1-SUMIF($A$2:$A$111,$A25,$G$2:$G$111))/COUNTIFS($A$2:$A$111,$A25,$D$2:$D$111,"普通",$F$2:$F$111,"否"))</f>
        <v>0.06</v>
      </c>
      <c r="I25" s="32" t="n">
        <f aca="false">H25*E25</f>
        <v>12</v>
      </c>
    </row>
    <row r="26" customFormat="false" ht="16.4" hidden="false" customHeight="false" outlineLevel="0" collapsed="false">
      <c r="A26" s="29" t="s">
        <v>273</v>
      </c>
      <c r="B26" s="29" t="s">
        <v>211</v>
      </c>
      <c r="C26" s="13" t="str">
        <f aca="false">INDEX(矿物图鉴!$B$2:$B$104,MATCH($B26,矿物图鉴!$A$2:$A$104,0))</f>
        <v>化石</v>
      </c>
      <c r="D26" s="13" t="str">
        <f aca="false">INDEX(矿物图鉴!$C$2:$C$104,MATCH($B26,矿物图鉴!$A$2:$A$104,0))</f>
        <v>少见</v>
      </c>
      <c r="E26" s="11" t="n">
        <f aca="false">INDEX(矿物图鉴!$E$2:$E$104,MATCH($B26,矿物图鉴!$A$2:$A$104,0))</f>
        <v>220</v>
      </c>
      <c r="F26" s="29" t="s">
        <v>271</v>
      </c>
      <c r="G26" s="30" t="n">
        <f aca="false">IF($F26="是",稀有度固定概率设置!$B$6,IFERROR(INDEX(稀有度固定概率设置!$B$2:$B$5,MATCH($D26,稀有度固定概率设置!$A$2:$A$5,0)),""))</f>
        <v>0.06</v>
      </c>
      <c r="H26" s="31" t="n">
        <f aca="false">IF($G26&lt;&gt;"",$G26,(1-SUMIF($A$2:$A$111,$A26,$G$2:$G$111))/COUNTIFS($A$2:$A$111,$A26,$D$2:$D$111,"普通",$F$2:$F$111,"否"))</f>
        <v>0.06</v>
      </c>
      <c r="I26" s="32" t="n">
        <f aca="false">H26*E26</f>
        <v>13.2</v>
      </c>
    </row>
    <row r="27" customFormat="false" ht="16.4" hidden="false" customHeight="false" outlineLevel="0" collapsed="false">
      <c r="A27" s="29" t="s">
        <v>273</v>
      </c>
      <c r="B27" s="29" t="s">
        <v>128</v>
      </c>
      <c r="C27" s="13" t="str">
        <f aca="false">INDEX(矿物图鉴!$B$2:$B$104,MATCH($B27,矿物图鉴!$A$2:$A$104,0))</f>
        <v>常见宝石矿物</v>
      </c>
      <c r="D27" s="13" t="str">
        <f aca="false">INDEX(矿物图鉴!$C$2:$C$104,MATCH($B27,矿物图鉴!$A$2:$A$104,0))</f>
        <v>史诗</v>
      </c>
      <c r="E27" s="11" t="n">
        <f aca="false">INDEX(矿物图鉴!$E$2:$E$104,MATCH($B27,矿物图鉴!$A$2:$A$104,0))</f>
        <v>2000</v>
      </c>
      <c r="F27" s="29" t="s">
        <v>271</v>
      </c>
      <c r="G27" s="30" t="n">
        <f aca="false">IF($F27="是",稀有度固定概率设置!$B$6,IFERROR(INDEX(稀有度固定概率设置!$B$2:$B$5,MATCH($D27,稀有度固定概率设置!$A$2:$A$5,0)),""))</f>
        <v>0.005</v>
      </c>
      <c r="H27" s="31" t="n">
        <f aca="false">IF($G27&lt;&gt;"",$G27,(1-SUMIF($A$2:$A$111,$A27,$G$2:$G$111))/COUNTIFS($A$2:$A$111,$A27,$D$2:$D$111,"普通",$F$2:$F$111,"否"))</f>
        <v>0.005</v>
      </c>
      <c r="I27" s="32" t="n">
        <f aca="false">H27*E27</f>
        <v>10</v>
      </c>
    </row>
    <row r="28" customFormat="false" ht="16.4" hidden="false" customHeight="false" outlineLevel="0" collapsed="false">
      <c r="A28" s="33" t="s">
        <v>274</v>
      </c>
      <c r="B28" s="34"/>
      <c r="C28" s="34"/>
      <c r="D28" s="34"/>
      <c r="E28" s="34"/>
      <c r="F28" s="34"/>
      <c r="G28" s="34"/>
      <c r="H28" s="35" t="n">
        <f aca="false">SUM(H15:H27)</f>
        <v>1</v>
      </c>
      <c r="I28" s="36" t="n">
        <f aca="false">SUM(I15:I27)</f>
        <v>76.098</v>
      </c>
    </row>
    <row r="29" customFormat="false" ht="16.4" hidden="false" customHeight="false" outlineLevel="0" collapsed="false">
      <c r="A29" s="21" t="s">
        <v>275</v>
      </c>
      <c r="B29" s="21" t="s">
        <v>115</v>
      </c>
      <c r="C29" s="21" t="str">
        <f aca="false">INDEX(矿物图鉴!$B$2:$B$104,MATCH($B29,矿物图鉴!$A$2:$A$104,0))</f>
        <v>工业矿物</v>
      </c>
      <c r="D29" s="21" t="str">
        <f aca="false">INDEX(矿物图鉴!$C$2:$C$104,MATCH($B29,矿物图鉴!$A$2:$A$104,0))</f>
        <v>普通</v>
      </c>
      <c r="E29" s="25" t="n">
        <f aca="false">INDEX(矿物图鉴!$E$2:$E$104,MATCH($B29,矿物图鉴!$A$2:$A$104,0))</f>
        <v>50</v>
      </c>
      <c r="F29" s="21" t="s">
        <v>270</v>
      </c>
      <c r="G29" s="26" t="n">
        <f aca="false">IF($F29="是",稀有度固定概率设置!$B$6,IFERROR(INDEX(稀有度固定概率设置!$B$2:$B$5,MATCH($D29,稀有度固定概率设置!$A$2:$A$5,0)),""))</f>
        <v>0.5</v>
      </c>
      <c r="H29" s="27" t="n">
        <f aca="false">IF($G29&lt;&gt;"",$G29,(1-SUMIF($A$2:$A$111,$A29,$G$2:$G$111))/COUNTIFS($A$2:$A$111,$A29,$D$2:$D$111,"普通",$F$2:$F$111,"否"))</f>
        <v>0.5</v>
      </c>
      <c r="I29" s="28" t="n">
        <f aca="false">H29*E29</f>
        <v>25</v>
      </c>
    </row>
    <row r="30" customFormat="false" ht="16.4" hidden="false" customHeight="false" outlineLevel="0" collapsed="false">
      <c r="A30" s="29" t="s">
        <v>275</v>
      </c>
      <c r="B30" s="29" t="s">
        <v>55</v>
      </c>
      <c r="C30" s="13" t="str">
        <f aca="false">INDEX(矿物图鉴!$B$2:$B$104,MATCH($B30,矿物图鉴!$A$2:$A$104,0))</f>
        <v>工业矿物</v>
      </c>
      <c r="D30" s="13" t="str">
        <f aca="false">INDEX(矿物图鉴!$C$2:$C$104,MATCH($B30,矿物图鉴!$A$2:$A$104,0))</f>
        <v>稀有</v>
      </c>
      <c r="E30" s="11" t="n">
        <f aca="false">INDEX(矿物图鉴!$E$2:$E$104,MATCH($B30,矿物图鉴!$A$2:$A$104,0))</f>
        <v>80</v>
      </c>
      <c r="F30" s="29" t="s">
        <v>271</v>
      </c>
      <c r="G30" s="30" t="n">
        <f aca="false">IF($F30="是",稀有度固定概率设置!$B$6,IFERROR(INDEX(稀有度固定概率设置!$B$2:$B$5,MATCH($D30,稀有度固定概率设置!$A$2:$A$5,0)),""))</f>
        <v>0.02</v>
      </c>
      <c r="H30" s="31" t="n">
        <f aca="false">IF($G30&lt;&gt;"",$G30,(1-SUMIF($A$2:$A$111,$A30,$G$2:$G$111))/COUNTIFS($A$2:$A$111,$A30,$D$2:$D$111,"普通",$F$2:$F$111,"否"))</f>
        <v>0.02</v>
      </c>
      <c r="I30" s="32" t="n">
        <f aca="false">H30*E30</f>
        <v>1.6</v>
      </c>
    </row>
    <row r="31" customFormat="false" ht="16.4" hidden="false" customHeight="false" outlineLevel="0" collapsed="false">
      <c r="A31" s="29" t="s">
        <v>275</v>
      </c>
      <c r="B31" s="29" t="s">
        <v>57</v>
      </c>
      <c r="C31" s="13" t="str">
        <f aca="false">INDEX(矿物图鉴!$B$2:$B$104,MATCH($B31,矿物图鉴!$A$2:$A$104,0))</f>
        <v>工业矿物</v>
      </c>
      <c r="D31" s="13" t="str">
        <f aca="false">INDEX(矿物图鉴!$C$2:$C$104,MATCH($B31,矿物图鉴!$A$2:$A$104,0))</f>
        <v>少见</v>
      </c>
      <c r="E31" s="11" t="n">
        <f aca="false">INDEX(矿物图鉴!$E$2:$E$104,MATCH($B31,矿物图鉴!$A$2:$A$104,0))</f>
        <v>40</v>
      </c>
      <c r="F31" s="29" t="s">
        <v>271</v>
      </c>
      <c r="G31" s="30" t="n">
        <f aca="false">IF($F31="是",稀有度固定概率设置!$B$6,IFERROR(INDEX(稀有度固定概率设置!$B$2:$B$5,MATCH($D31,稀有度固定概率设置!$A$2:$A$5,0)),""))</f>
        <v>0.06</v>
      </c>
      <c r="H31" s="31" t="n">
        <f aca="false">IF($G31&lt;&gt;"",$G31,(1-SUMIF($A$2:$A$111,$A31,$G$2:$G$111))/COUNTIFS($A$2:$A$111,$A31,$D$2:$D$111,"普通",$F$2:$F$111,"否"))</f>
        <v>0.06</v>
      </c>
      <c r="I31" s="32" t="n">
        <f aca="false">H31*E31</f>
        <v>2.4</v>
      </c>
    </row>
    <row r="32" customFormat="false" ht="16.4" hidden="false" customHeight="false" outlineLevel="0" collapsed="false">
      <c r="A32" s="29" t="s">
        <v>275</v>
      </c>
      <c r="B32" s="29" t="s">
        <v>52</v>
      </c>
      <c r="C32" s="13" t="str">
        <f aca="false">INDEX(矿物图鉴!$B$2:$B$104,MATCH($B32,矿物图鉴!$A$2:$A$104,0))</f>
        <v>工业矿物</v>
      </c>
      <c r="D32" s="13" t="str">
        <f aca="false">INDEX(矿物图鉴!$C$2:$C$104,MATCH($B32,矿物图鉴!$A$2:$A$104,0))</f>
        <v>稀有</v>
      </c>
      <c r="E32" s="11" t="n">
        <f aca="false">INDEX(矿物图鉴!$E$2:$E$104,MATCH($B32,矿物图鉴!$A$2:$A$104,0))</f>
        <v>45</v>
      </c>
      <c r="F32" s="29" t="s">
        <v>271</v>
      </c>
      <c r="G32" s="30" t="n">
        <f aca="false">IF($F32="是",稀有度固定概率设置!$B$6,IFERROR(INDEX(稀有度固定概率设置!$B$2:$B$5,MATCH($D32,稀有度固定概率设置!$A$2:$A$5,0)),""))</f>
        <v>0.02</v>
      </c>
      <c r="H32" s="31" t="n">
        <f aca="false">IF($G32&lt;&gt;"",$G32,(1-SUMIF($A$2:$A$111,$A32,$G$2:$G$111))/COUNTIFS($A$2:$A$111,$A32,$D$2:$D$111,"普通",$F$2:$F$111,"否"))</f>
        <v>0.02</v>
      </c>
      <c r="I32" s="32" t="n">
        <f aca="false">H32*E32</f>
        <v>0.9</v>
      </c>
    </row>
    <row r="33" customFormat="false" ht="16.4" hidden="false" customHeight="false" outlineLevel="0" collapsed="false">
      <c r="A33" s="29" t="s">
        <v>275</v>
      </c>
      <c r="B33" s="29" t="s">
        <v>86</v>
      </c>
      <c r="C33" s="13" t="str">
        <f aca="false">INDEX(矿物图鉴!$B$2:$B$104,MATCH($B33,矿物图鉴!$A$2:$A$104,0))</f>
        <v>工业矿物</v>
      </c>
      <c r="D33" s="13" t="str">
        <f aca="false">INDEX(矿物图鉴!$C$2:$C$104,MATCH($B33,矿物图鉴!$A$2:$A$104,0))</f>
        <v>少见</v>
      </c>
      <c r="E33" s="11" t="n">
        <f aca="false">INDEX(矿物图鉴!$E$2:$E$104,MATCH($B33,矿物图鉴!$A$2:$A$104,0))</f>
        <v>18</v>
      </c>
      <c r="F33" s="29" t="s">
        <v>271</v>
      </c>
      <c r="G33" s="30" t="n">
        <f aca="false">IF($F33="是",稀有度固定概率设置!$B$6,IFERROR(INDEX(稀有度固定概率设置!$B$2:$B$5,MATCH($D33,稀有度固定概率设置!$A$2:$A$5,0)),""))</f>
        <v>0.06</v>
      </c>
      <c r="H33" s="31" t="n">
        <f aca="false">IF($G33&lt;&gt;"",$G33,(1-SUMIF($A$2:$A$111,$A33,$G$2:$G$111))/COUNTIFS($A$2:$A$111,$A33,$D$2:$D$111,"普通",$F$2:$F$111,"否"))</f>
        <v>0.06</v>
      </c>
      <c r="I33" s="32" t="n">
        <f aca="false">H33*E33</f>
        <v>1.08</v>
      </c>
    </row>
    <row r="34" customFormat="false" ht="16.4" hidden="false" customHeight="false" outlineLevel="0" collapsed="false">
      <c r="A34" s="29" t="s">
        <v>275</v>
      </c>
      <c r="B34" s="29" t="s">
        <v>159</v>
      </c>
      <c r="C34" s="13" t="str">
        <f aca="false">INDEX(矿物图鉴!$B$2:$B$104,MATCH($B34,矿物图鉴!$A$2:$A$104,0))</f>
        <v>常见宝石矿物</v>
      </c>
      <c r="D34" s="13" t="str">
        <f aca="false">INDEX(矿物图鉴!$C$2:$C$104,MATCH($B34,矿物图鉴!$A$2:$A$104,0))</f>
        <v>普通</v>
      </c>
      <c r="E34" s="11" t="n">
        <f aca="false">INDEX(矿物图鉴!$E$2:$E$104,MATCH($B34,矿物图鉴!$A$2:$A$104,0))</f>
        <v>60</v>
      </c>
      <c r="F34" s="29" t="s">
        <v>271</v>
      </c>
      <c r="G34" s="30" t="str">
        <f aca="false">IF($F34="是",稀有度固定概率设置!$B$6,IFERROR(INDEX(稀有度固定概率设置!$B$2:$B$5,MATCH($D34,稀有度固定概率设置!$A$2:$A$5,0)),""))</f>
        <v/>
      </c>
      <c r="H34" s="31" t="n">
        <f aca="false">IF($G34&lt;&gt;"",$G34,(1-SUMIF($A$2:$A$111,$A34,$G$2:$G$111))/COUNTIFS($A$2:$A$111,$A34,$D$2:$D$111,"普通",$F$2:$F$111,"否"))</f>
        <v>0.0456666666666667</v>
      </c>
      <c r="I34" s="32" t="n">
        <f aca="false">H34*E34</f>
        <v>2.74</v>
      </c>
    </row>
    <row r="35" customFormat="false" ht="16.4" hidden="false" customHeight="false" outlineLevel="0" collapsed="false">
      <c r="A35" s="29" t="s">
        <v>275</v>
      </c>
      <c r="B35" s="29" t="s">
        <v>163</v>
      </c>
      <c r="C35" s="13" t="str">
        <f aca="false">INDEX(矿物图鉴!$B$2:$B$104,MATCH($B35,矿物图鉴!$A$2:$A$104,0))</f>
        <v>常见宝石矿物</v>
      </c>
      <c r="D35" s="13" t="str">
        <f aca="false">INDEX(矿物图鉴!$C$2:$C$104,MATCH($B35,矿物图鉴!$A$2:$A$104,0))</f>
        <v>普通</v>
      </c>
      <c r="E35" s="11" t="n">
        <f aca="false">INDEX(矿物图鉴!$E$2:$E$104,MATCH($B35,矿物图鉴!$A$2:$A$104,0))</f>
        <v>55</v>
      </c>
      <c r="F35" s="29" t="s">
        <v>271</v>
      </c>
      <c r="G35" s="30" t="str">
        <f aca="false">IF($F35="是",稀有度固定概率设置!$B$6,IFERROR(INDEX(稀有度固定概率设置!$B$2:$B$5,MATCH($D35,稀有度固定概率设置!$A$2:$A$5,0)),""))</f>
        <v/>
      </c>
      <c r="H35" s="31" t="n">
        <f aca="false">IF($G35&lt;&gt;"",$G35,(1-SUMIF($A$2:$A$111,$A35,$G$2:$G$111))/COUNTIFS($A$2:$A$111,$A35,$D$2:$D$111,"普通",$F$2:$F$111,"否"))</f>
        <v>0.0456666666666667</v>
      </c>
      <c r="I35" s="32" t="n">
        <f aca="false">H35*E35</f>
        <v>2.51166666666667</v>
      </c>
    </row>
    <row r="36" customFormat="false" ht="16.4" hidden="false" customHeight="false" outlineLevel="0" collapsed="false">
      <c r="A36" s="29" t="s">
        <v>275</v>
      </c>
      <c r="B36" s="29" t="s">
        <v>161</v>
      </c>
      <c r="C36" s="13" t="str">
        <f aca="false">INDEX(矿物图鉴!$B$2:$B$104,MATCH($B36,矿物图鉴!$A$2:$A$104,0))</f>
        <v>常见宝石矿物</v>
      </c>
      <c r="D36" s="13" t="str">
        <f aca="false">INDEX(矿物图鉴!$C$2:$C$104,MATCH($B36,矿物图鉴!$A$2:$A$104,0))</f>
        <v>普通</v>
      </c>
      <c r="E36" s="11" t="n">
        <f aca="false">INDEX(矿物图鉴!$E$2:$E$104,MATCH($B36,矿物图鉴!$A$2:$A$104,0))</f>
        <v>50</v>
      </c>
      <c r="F36" s="29" t="s">
        <v>271</v>
      </c>
      <c r="G36" s="30" t="str">
        <f aca="false">IF($F36="是",稀有度固定概率设置!$B$6,IFERROR(INDEX(稀有度固定概率设置!$B$2:$B$5,MATCH($D36,稀有度固定概率设置!$A$2:$A$5,0)),""))</f>
        <v/>
      </c>
      <c r="H36" s="31" t="n">
        <f aca="false">IF($G36&lt;&gt;"",$G36,(1-SUMIF($A$2:$A$111,$A36,$G$2:$G$111))/COUNTIFS($A$2:$A$111,$A36,$D$2:$D$111,"普通",$F$2:$F$111,"否"))</f>
        <v>0.0456666666666667</v>
      </c>
      <c r="I36" s="32" t="n">
        <f aca="false">H36*E36</f>
        <v>2.28333333333333</v>
      </c>
    </row>
    <row r="37" customFormat="false" ht="16.4" hidden="false" customHeight="false" outlineLevel="0" collapsed="false">
      <c r="A37" s="29" t="s">
        <v>275</v>
      </c>
      <c r="B37" s="29" t="s">
        <v>214</v>
      </c>
      <c r="C37" s="13" t="str">
        <f aca="false">INDEX(矿物图鉴!$B$2:$B$104,MATCH($B37,矿物图鉴!$A$2:$A$104,0))</f>
        <v>珍稀晶体矿物</v>
      </c>
      <c r="D37" s="13" t="str">
        <f aca="false">INDEX(矿物图鉴!$C$2:$C$104,MATCH($B37,矿物图鉴!$A$2:$A$104,0))</f>
        <v>传说</v>
      </c>
      <c r="E37" s="11" t="n">
        <f aca="false">INDEX(矿物图鉴!$E$2:$E$104,MATCH($B37,矿物图鉴!$A$2:$A$104,0))</f>
        <v>1500</v>
      </c>
      <c r="F37" s="29" t="s">
        <v>271</v>
      </c>
      <c r="G37" s="30" t="n">
        <f aca="false">IF($F37="是",稀有度固定概率设置!$B$6,IFERROR(INDEX(稀有度固定概率设置!$B$2:$B$5,MATCH($D37,稀有度固定概率设置!$A$2:$A$5,0)),""))</f>
        <v>0.001</v>
      </c>
      <c r="H37" s="31" t="n">
        <f aca="false">IF($G37&lt;&gt;"",$G37,(1-SUMIF($A$2:$A$111,$A37,$G$2:$G$111))/COUNTIFS($A$2:$A$111,$A37,$D$2:$D$111,"普通",$F$2:$F$111,"否"))</f>
        <v>0.001</v>
      </c>
      <c r="I37" s="32" t="n">
        <f aca="false">H37*E37</f>
        <v>1.5</v>
      </c>
    </row>
    <row r="38" customFormat="false" ht="16.4" hidden="false" customHeight="false" outlineLevel="0" collapsed="false">
      <c r="A38" s="29" t="s">
        <v>275</v>
      </c>
      <c r="B38" s="29" t="s">
        <v>247</v>
      </c>
      <c r="C38" s="13" t="str">
        <f aca="false">INDEX(矿物图鉴!$B$2:$B$104,MATCH($B38,矿物图鉴!$A$2:$A$104,0))</f>
        <v>珍稀晶体矿物</v>
      </c>
      <c r="D38" s="13" t="str">
        <f aca="false">INDEX(矿物图鉴!$C$2:$C$104,MATCH($B38,矿物图鉴!$A$2:$A$104,0))</f>
        <v>史诗</v>
      </c>
      <c r="E38" s="11" t="n">
        <f aca="false">INDEX(矿物图鉴!$E$2:$E$104,MATCH($B38,矿物图鉴!$A$2:$A$104,0))</f>
        <v>1900</v>
      </c>
      <c r="F38" s="29" t="s">
        <v>271</v>
      </c>
      <c r="G38" s="30" t="n">
        <f aca="false">IF($F38="是",稀有度固定概率设置!$B$6,IFERROR(INDEX(稀有度固定概率设置!$B$2:$B$5,MATCH($D38,稀有度固定概率设置!$A$2:$A$5,0)),""))</f>
        <v>0.005</v>
      </c>
      <c r="H38" s="31" t="n">
        <f aca="false">IF($G38&lt;&gt;"",$G38,(1-SUMIF($A$2:$A$111,$A38,$G$2:$G$111))/COUNTIFS($A$2:$A$111,$A38,$D$2:$D$111,"普通",$F$2:$F$111,"否"))</f>
        <v>0.005</v>
      </c>
      <c r="I38" s="32" t="n">
        <f aca="false">H38*E38</f>
        <v>9.5</v>
      </c>
    </row>
    <row r="39" customFormat="false" ht="16.4" hidden="false" customHeight="false" outlineLevel="0" collapsed="false">
      <c r="A39" s="29" t="s">
        <v>275</v>
      </c>
      <c r="B39" s="29" t="s">
        <v>230</v>
      </c>
      <c r="C39" s="13" t="str">
        <f aca="false">INDEX(矿物图鉴!$B$2:$B$104,MATCH($B39,矿物图鉴!$A$2:$A$104,0))</f>
        <v>珍稀晶体矿物</v>
      </c>
      <c r="D39" s="13" t="str">
        <f aca="false">INDEX(矿物图鉴!$C$2:$C$104,MATCH($B39,矿物图鉴!$A$2:$A$104,0))</f>
        <v>史诗</v>
      </c>
      <c r="E39" s="11" t="n">
        <f aca="false">INDEX(矿物图鉴!$E$2:$E$104,MATCH($B39,矿物图鉴!$A$2:$A$104,0))</f>
        <v>1800</v>
      </c>
      <c r="F39" s="29" t="s">
        <v>271</v>
      </c>
      <c r="G39" s="30" t="n">
        <f aca="false">IF($F39="是",稀有度固定概率设置!$B$6,IFERROR(INDEX(稀有度固定概率设置!$B$2:$B$5,MATCH($D39,稀有度固定概率设置!$A$2:$A$5,0)),""))</f>
        <v>0.005</v>
      </c>
      <c r="H39" s="31" t="n">
        <f aca="false">IF($G39&lt;&gt;"",$G39,(1-SUMIF($A$2:$A$111,$A39,$G$2:$G$111))/COUNTIFS($A$2:$A$111,$A39,$D$2:$D$111,"普通",$F$2:$F$111,"否"))</f>
        <v>0.005</v>
      </c>
      <c r="I39" s="32" t="n">
        <f aca="false">H39*E39</f>
        <v>9</v>
      </c>
    </row>
    <row r="40" customFormat="false" ht="16.4" hidden="false" customHeight="false" outlineLevel="0" collapsed="false">
      <c r="A40" s="29" t="s">
        <v>275</v>
      </c>
      <c r="B40" s="29" t="s">
        <v>168</v>
      </c>
      <c r="C40" s="13" t="str">
        <f aca="false">INDEX(矿物图鉴!$B$2:$B$104,MATCH($B40,矿物图鉴!$A$2:$A$104,0))</f>
        <v>常见宝石矿物</v>
      </c>
      <c r="D40" s="13" t="str">
        <f aca="false">INDEX(矿物图鉴!$C$2:$C$104,MATCH($B40,矿物图鉴!$A$2:$A$104,0))</f>
        <v>少见</v>
      </c>
      <c r="E40" s="11" t="n">
        <f aca="false">INDEX(矿物图鉴!$E$2:$E$104,MATCH($B40,矿物图鉴!$A$2:$A$104,0))</f>
        <v>95</v>
      </c>
      <c r="F40" s="29" t="s">
        <v>271</v>
      </c>
      <c r="G40" s="30" t="n">
        <f aca="false">IF($F40="是",稀有度固定概率设置!$B$6,IFERROR(INDEX(稀有度固定概率设置!$B$2:$B$5,MATCH($D40,稀有度固定概率设置!$A$2:$A$5,0)),""))</f>
        <v>0.06</v>
      </c>
      <c r="H40" s="31" t="n">
        <f aca="false">IF($G40&lt;&gt;"",$G40,(1-SUMIF($A$2:$A$111,$A40,$G$2:$G$111))/COUNTIFS($A$2:$A$111,$A40,$D$2:$D$111,"普通",$F$2:$F$111,"否"))</f>
        <v>0.06</v>
      </c>
      <c r="I40" s="32" t="n">
        <f aca="false">H40*E40</f>
        <v>5.7</v>
      </c>
    </row>
    <row r="41" customFormat="false" ht="16.4" hidden="false" customHeight="false" outlineLevel="0" collapsed="false">
      <c r="A41" s="29" t="s">
        <v>275</v>
      </c>
      <c r="B41" s="29" t="s">
        <v>197</v>
      </c>
      <c r="C41" s="13" t="str">
        <f aca="false">INDEX(矿物图鉴!$B$2:$B$104,MATCH($B41,矿物图鉴!$A$2:$A$104,0))</f>
        <v>化石</v>
      </c>
      <c r="D41" s="13" t="str">
        <f aca="false">INDEX(矿物图鉴!$C$2:$C$104,MATCH($B41,矿物图鉴!$A$2:$A$104,0))</f>
        <v>少见</v>
      </c>
      <c r="E41" s="11" t="n">
        <f aca="false">INDEX(矿物图鉴!$E$2:$E$104,MATCH($B41,矿物图鉴!$A$2:$A$104,0))</f>
        <v>180</v>
      </c>
      <c r="F41" s="29" t="s">
        <v>271</v>
      </c>
      <c r="G41" s="30" t="n">
        <f aca="false">IF($F41="是",稀有度固定概率设置!$B$6,IFERROR(INDEX(稀有度固定概率设置!$B$2:$B$5,MATCH($D41,稀有度固定概率设置!$A$2:$A$5,0)),""))</f>
        <v>0.06</v>
      </c>
      <c r="H41" s="31" t="n">
        <f aca="false">IF($G41&lt;&gt;"",$G41,(1-SUMIF($A$2:$A$111,$A41,$G$2:$G$111))/COUNTIFS($A$2:$A$111,$A41,$D$2:$D$111,"普通",$F$2:$F$111,"否"))</f>
        <v>0.06</v>
      </c>
      <c r="I41" s="32" t="n">
        <f aca="false">H41*E41</f>
        <v>10.8</v>
      </c>
    </row>
    <row r="42" customFormat="false" ht="16.4" hidden="false" customHeight="false" outlineLevel="0" collapsed="false">
      <c r="A42" s="29" t="s">
        <v>275</v>
      </c>
      <c r="B42" s="29" t="s">
        <v>209</v>
      </c>
      <c r="C42" s="13" t="str">
        <f aca="false">INDEX(矿物图鉴!$B$2:$B$104,MATCH($B42,矿物图鉴!$A$2:$A$104,0))</f>
        <v>化石</v>
      </c>
      <c r="D42" s="13" t="str">
        <f aca="false">INDEX(矿物图鉴!$C$2:$C$104,MATCH($B42,矿物图鉴!$A$2:$A$104,0))</f>
        <v>传说</v>
      </c>
      <c r="E42" s="11" t="n">
        <f aca="false">INDEX(矿物图鉴!$E$2:$E$104,MATCH($B42,矿物图鉴!$A$2:$A$104,0))</f>
        <v>4500</v>
      </c>
      <c r="F42" s="29" t="s">
        <v>271</v>
      </c>
      <c r="G42" s="30" t="n">
        <f aca="false">IF($F42="是",稀有度固定概率设置!$B$6,IFERROR(INDEX(稀有度固定概率设置!$B$2:$B$5,MATCH($D42,稀有度固定概率设置!$A$2:$A$5,0)),""))</f>
        <v>0.001</v>
      </c>
      <c r="H42" s="31" t="n">
        <f aca="false">IF($G42&lt;&gt;"",$G42,(1-SUMIF($A$2:$A$111,$A42,$G$2:$G$111))/COUNTIFS($A$2:$A$111,$A42,$D$2:$D$111,"普通",$F$2:$F$111,"否"))</f>
        <v>0.001</v>
      </c>
      <c r="I42" s="32" t="n">
        <f aca="false">H42*E42</f>
        <v>4.5</v>
      </c>
    </row>
    <row r="43" customFormat="false" ht="16.4" hidden="false" customHeight="false" outlineLevel="0" collapsed="false">
      <c r="A43" s="29" t="s">
        <v>275</v>
      </c>
      <c r="B43" s="29" t="s">
        <v>207</v>
      </c>
      <c r="C43" s="13" t="str">
        <f aca="false">INDEX(矿物图鉴!$B$2:$B$104,MATCH($B43,矿物图鉴!$A$2:$A$104,0))</f>
        <v>化石</v>
      </c>
      <c r="D43" s="13" t="str">
        <f aca="false">INDEX(矿物图鉴!$C$2:$C$104,MATCH($B43,矿物图鉴!$A$2:$A$104,0))</f>
        <v>传说</v>
      </c>
      <c r="E43" s="11" t="n">
        <f aca="false">INDEX(矿物图鉴!$E$2:$E$104,MATCH($B43,矿物图鉴!$A$2:$A$104,0))</f>
        <v>5000</v>
      </c>
      <c r="F43" s="29" t="s">
        <v>271</v>
      </c>
      <c r="G43" s="30" t="n">
        <f aca="false">IF($F43="是",稀有度固定概率设置!$B$6,IFERROR(INDEX(稀有度固定概率设置!$B$2:$B$5,MATCH($D43,稀有度固定概率设置!$A$2:$A$5,0)),""))</f>
        <v>0.001</v>
      </c>
      <c r="H43" s="31" t="n">
        <f aca="false">IF($G43&lt;&gt;"",$G43,(1-SUMIF($A$2:$A$111,$A43,$G$2:$G$111))/COUNTIFS($A$2:$A$111,$A43,$D$2:$D$111,"普通",$F$2:$F$111,"否"))</f>
        <v>0.001</v>
      </c>
      <c r="I43" s="32" t="n">
        <f aca="false">H43*E43</f>
        <v>5</v>
      </c>
    </row>
    <row r="44" customFormat="false" ht="16.4" hidden="false" customHeight="false" outlineLevel="0" collapsed="false">
      <c r="A44" s="29" t="s">
        <v>275</v>
      </c>
      <c r="B44" s="29" t="s">
        <v>211</v>
      </c>
      <c r="C44" s="13" t="str">
        <f aca="false">INDEX(矿物图鉴!$B$2:$B$104,MATCH($B44,矿物图鉴!$A$2:$A$104,0))</f>
        <v>化石</v>
      </c>
      <c r="D44" s="13" t="str">
        <f aca="false">INDEX(矿物图鉴!$C$2:$C$104,MATCH($B44,矿物图鉴!$A$2:$A$104,0))</f>
        <v>少见</v>
      </c>
      <c r="E44" s="11" t="n">
        <f aca="false">INDEX(矿物图鉴!$E$2:$E$104,MATCH($B44,矿物图鉴!$A$2:$A$104,0))</f>
        <v>220</v>
      </c>
      <c r="F44" s="29" t="s">
        <v>271</v>
      </c>
      <c r="G44" s="30" t="n">
        <f aca="false">IF($F44="是",稀有度固定概率设置!$B$6,IFERROR(INDEX(稀有度固定概率设置!$B$2:$B$5,MATCH($D44,稀有度固定概率设置!$A$2:$A$5,0)),""))</f>
        <v>0.06</v>
      </c>
      <c r="H44" s="31" t="n">
        <f aca="false">IF($G44&lt;&gt;"",$G44,(1-SUMIF($A$2:$A$111,$A44,$G$2:$G$111))/COUNTIFS($A$2:$A$111,$A44,$D$2:$D$111,"普通",$F$2:$F$111,"否"))</f>
        <v>0.06</v>
      </c>
      <c r="I44" s="32" t="n">
        <f aca="false">H44*E44</f>
        <v>13.2</v>
      </c>
    </row>
    <row r="45" customFormat="false" ht="16.4" hidden="false" customHeight="false" outlineLevel="0" collapsed="false">
      <c r="A45" s="29" t="s">
        <v>275</v>
      </c>
      <c r="B45" s="29" t="s">
        <v>122</v>
      </c>
      <c r="C45" s="13" t="str">
        <f aca="false">INDEX(矿物图鉴!$B$2:$B$104,MATCH($B45,矿物图鉴!$A$2:$A$104,0))</f>
        <v>常见宝石矿物</v>
      </c>
      <c r="D45" s="13" t="str">
        <f aca="false">INDEX(矿物图鉴!$C$2:$C$104,MATCH($B45,矿物图鉴!$A$2:$A$104,0))</f>
        <v>史诗</v>
      </c>
      <c r="E45" s="11" t="n">
        <f aca="false">INDEX(矿物图鉴!$E$2:$E$104,MATCH($B45,矿物图鉴!$A$2:$A$104,0))</f>
        <v>1800</v>
      </c>
      <c r="F45" s="29" t="s">
        <v>271</v>
      </c>
      <c r="G45" s="30" t="n">
        <f aca="false">IF($F45="是",稀有度固定概率设置!$B$6,IFERROR(INDEX(稀有度固定概率设置!$B$2:$B$5,MATCH($D45,稀有度固定概率设置!$A$2:$A$5,0)),""))</f>
        <v>0.005</v>
      </c>
      <c r="H45" s="31" t="n">
        <f aca="false">IF($G45&lt;&gt;"",$G45,(1-SUMIF($A$2:$A$111,$A45,$G$2:$G$111))/COUNTIFS($A$2:$A$111,$A45,$D$2:$D$111,"普通",$F$2:$F$111,"否"))</f>
        <v>0.005</v>
      </c>
      <c r="I45" s="32" t="n">
        <f aca="false">H45*E45</f>
        <v>9</v>
      </c>
    </row>
    <row r="46" customFormat="false" ht="16.4" hidden="false" customHeight="false" outlineLevel="0" collapsed="false">
      <c r="A46" s="29" t="s">
        <v>275</v>
      </c>
      <c r="B46" s="29" t="s">
        <v>173</v>
      </c>
      <c r="C46" s="13" t="str">
        <f aca="false">INDEX(矿物图鉴!$B$2:$B$104,MATCH($B46,矿物图鉴!$A$2:$A$104,0))</f>
        <v>常见宝石矿物</v>
      </c>
      <c r="D46" s="13" t="str">
        <f aca="false">INDEX(矿物图鉴!$C$2:$C$104,MATCH($B46,矿物图鉴!$A$2:$A$104,0))</f>
        <v>史诗</v>
      </c>
      <c r="E46" s="11" t="n">
        <f aca="false">INDEX(矿物图鉴!$E$2:$E$104,MATCH($B46,矿物图鉴!$A$2:$A$104,0))</f>
        <v>2500</v>
      </c>
      <c r="F46" s="29" t="s">
        <v>271</v>
      </c>
      <c r="G46" s="30" t="n">
        <f aca="false">IF($F46="是",稀有度固定概率设置!$B$6,IFERROR(INDEX(稀有度固定概率设置!$B$2:$B$5,MATCH($D46,稀有度固定概率设置!$A$2:$A$5,0)),""))</f>
        <v>0.005</v>
      </c>
      <c r="H46" s="31" t="n">
        <f aca="false">IF($G46&lt;&gt;"",$G46,(1-SUMIF($A$2:$A$111,$A46,$G$2:$G$111))/COUNTIFS($A$2:$A$111,$A46,$D$2:$D$111,"普通",$F$2:$F$111,"否"))</f>
        <v>0.005</v>
      </c>
      <c r="I46" s="32" t="n">
        <f aca="false">H46*E46</f>
        <v>12.5</v>
      </c>
    </row>
    <row r="47" customFormat="false" ht="16.4" hidden="false" customHeight="false" outlineLevel="0" collapsed="false">
      <c r="A47" s="33" t="s">
        <v>276</v>
      </c>
      <c r="B47" s="34"/>
      <c r="C47" s="34"/>
      <c r="D47" s="34"/>
      <c r="E47" s="34"/>
      <c r="F47" s="34"/>
      <c r="G47" s="34"/>
      <c r="H47" s="35" t="n">
        <f aca="false">SUM(H29:H46)</f>
        <v>1</v>
      </c>
      <c r="I47" s="36" t="n">
        <f aca="false">SUM(I29:I46)</f>
        <v>119.215</v>
      </c>
    </row>
    <row r="48" customFormat="false" ht="16.4" hidden="false" customHeight="false" outlineLevel="0" collapsed="false">
      <c r="A48" s="21" t="s">
        <v>277</v>
      </c>
      <c r="B48" s="21" t="s">
        <v>113</v>
      </c>
      <c r="C48" s="21" t="str">
        <f aca="false">INDEX(矿物图鉴!$B$2:$B$104,MATCH($B48,矿物图鉴!$A$2:$A$104,0))</f>
        <v>工业矿物</v>
      </c>
      <c r="D48" s="21" t="str">
        <f aca="false">INDEX(矿物图鉴!$C$2:$C$104,MATCH($B48,矿物图鉴!$A$2:$A$104,0))</f>
        <v>普通</v>
      </c>
      <c r="E48" s="25" t="n">
        <f aca="false">INDEX(矿物图鉴!$E$2:$E$104,MATCH($B48,矿物图鉴!$A$2:$A$104,0))</f>
        <v>35</v>
      </c>
      <c r="F48" s="21" t="s">
        <v>270</v>
      </c>
      <c r="G48" s="26" t="n">
        <f aca="false">IF($F48="是",稀有度固定概率设置!$B$6,IFERROR(INDEX(稀有度固定概率设置!$B$2:$B$5,MATCH($D48,稀有度固定概率设置!$A$2:$A$5,0)),""))</f>
        <v>0.5</v>
      </c>
      <c r="H48" s="27" t="n">
        <f aca="false">IF($G48&lt;&gt;"",$G48,(1-SUMIF($A$2:$A$111,$A48,$G$2:$G$111))/COUNTIFS($A$2:$A$111,$A48,$D$2:$D$111,"普通",$F$2:$F$111,"否"))</f>
        <v>0.5</v>
      </c>
      <c r="I48" s="28" t="n">
        <f aca="false">H48*E48</f>
        <v>17.5</v>
      </c>
    </row>
    <row r="49" customFormat="false" ht="16.4" hidden="false" customHeight="false" outlineLevel="0" collapsed="false">
      <c r="A49" s="29" t="s">
        <v>277</v>
      </c>
      <c r="B49" s="29" t="s">
        <v>92</v>
      </c>
      <c r="C49" s="13" t="str">
        <f aca="false">INDEX(矿物图鉴!$B$2:$B$104,MATCH($B49,矿物图鉴!$A$2:$A$104,0))</f>
        <v>工业矿物</v>
      </c>
      <c r="D49" s="13" t="str">
        <f aca="false">INDEX(矿物图鉴!$C$2:$C$104,MATCH($B49,矿物图鉴!$A$2:$A$104,0))</f>
        <v>普通</v>
      </c>
      <c r="E49" s="11" t="n">
        <f aca="false">INDEX(矿物图鉴!$E$2:$E$104,MATCH($B49,矿物图鉴!$A$2:$A$104,0))</f>
        <v>6</v>
      </c>
      <c r="F49" s="29" t="s">
        <v>271</v>
      </c>
      <c r="G49" s="30" t="str">
        <f aca="false">IF($F49="是",稀有度固定概率设置!$B$6,IFERROR(INDEX(稀有度固定概率设置!$B$2:$B$5,MATCH($D49,稀有度固定概率设置!$A$2:$A$5,0)),""))</f>
        <v/>
      </c>
      <c r="H49" s="31" t="n">
        <f aca="false">IF($G49&lt;&gt;"",$G49,(1-SUMIF($A$2:$A$111,$A49,$G$2:$G$111))/COUNTIFS($A$2:$A$111,$A49,$D$2:$D$111,"普通",$F$2:$F$111,"否"))</f>
        <v>0.123</v>
      </c>
      <c r="I49" s="32" t="n">
        <f aca="false">H49*E49</f>
        <v>0.738</v>
      </c>
    </row>
    <row r="50" customFormat="false" ht="16.4" hidden="false" customHeight="false" outlineLevel="0" collapsed="false">
      <c r="A50" s="29" t="s">
        <v>277</v>
      </c>
      <c r="B50" s="29" t="s">
        <v>104</v>
      </c>
      <c r="C50" s="13" t="str">
        <f aca="false">INDEX(矿物图鉴!$B$2:$B$104,MATCH($B50,矿物图鉴!$A$2:$A$104,0))</f>
        <v>工业矿物</v>
      </c>
      <c r="D50" s="13" t="str">
        <f aca="false">INDEX(矿物图鉴!$C$2:$C$104,MATCH($B50,矿物图鉴!$A$2:$A$104,0))</f>
        <v>少见</v>
      </c>
      <c r="E50" s="11" t="n">
        <f aca="false">INDEX(矿物图鉴!$E$2:$E$104,MATCH($B50,矿物图鉴!$A$2:$A$104,0))</f>
        <v>25</v>
      </c>
      <c r="F50" s="29" t="s">
        <v>271</v>
      </c>
      <c r="G50" s="30" t="n">
        <f aca="false">IF($F50="是",稀有度固定概率设置!$B$6,IFERROR(INDEX(稀有度固定概率设置!$B$2:$B$5,MATCH($D50,稀有度固定概率设置!$A$2:$A$5,0)),""))</f>
        <v>0.06</v>
      </c>
      <c r="H50" s="31" t="n">
        <f aca="false">IF($G50&lt;&gt;"",$G50,(1-SUMIF($A$2:$A$111,$A50,$G$2:$G$111))/COUNTIFS($A$2:$A$111,$A50,$D$2:$D$111,"普通",$F$2:$F$111,"否"))</f>
        <v>0.06</v>
      </c>
      <c r="I50" s="32" t="n">
        <f aca="false">H50*E50</f>
        <v>1.5</v>
      </c>
    </row>
    <row r="51" customFormat="false" ht="16.4" hidden="false" customHeight="false" outlineLevel="0" collapsed="false">
      <c r="A51" s="29" t="s">
        <v>277</v>
      </c>
      <c r="B51" s="29" t="s">
        <v>59</v>
      </c>
      <c r="C51" s="13" t="str">
        <f aca="false">INDEX(矿物图鉴!$B$2:$B$104,MATCH($B51,矿物图鉴!$A$2:$A$104,0))</f>
        <v>工业矿物</v>
      </c>
      <c r="D51" s="13" t="str">
        <f aca="false">INDEX(矿物图鉴!$C$2:$C$104,MATCH($B51,矿物图鉴!$A$2:$A$104,0))</f>
        <v>少见</v>
      </c>
      <c r="E51" s="11" t="n">
        <f aca="false">INDEX(矿物图鉴!$E$2:$E$104,MATCH($B51,矿物图鉴!$A$2:$A$104,0))</f>
        <v>28</v>
      </c>
      <c r="F51" s="29" t="s">
        <v>271</v>
      </c>
      <c r="G51" s="30" t="n">
        <f aca="false">IF($F51="是",稀有度固定概率设置!$B$6,IFERROR(INDEX(稀有度固定概率设置!$B$2:$B$5,MATCH($D51,稀有度固定概率设置!$A$2:$A$5,0)),""))</f>
        <v>0.06</v>
      </c>
      <c r="H51" s="31" t="n">
        <f aca="false">IF($G51&lt;&gt;"",$G51,(1-SUMIF($A$2:$A$111,$A51,$G$2:$G$111))/COUNTIFS($A$2:$A$111,$A51,$D$2:$D$111,"普通",$F$2:$F$111,"否"))</f>
        <v>0.06</v>
      </c>
      <c r="I51" s="32" t="n">
        <f aca="false">H51*E51</f>
        <v>1.68</v>
      </c>
    </row>
    <row r="52" customFormat="false" ht="16.4" hidden="false" customHeight="false" outlineLevel="0" collapsed="false">
      <c r="A52" s="29" t="s">
        <v>277</v>
      </c>
      <c r="B52" s="29" t="s">
        <v>218</v>
      </c>
      <c r="C52" s="13" t="str">
        <f aca="false">INDEX(矿物图鉴!$B$2:$B$104,MATCH($B52,矿物图鉴!$A$2:$A$104,0))</f>
        <v>珍稀晶体矿物</v>
      </c>
      <c r="D52" s="13" t="str">
        <f aca="false">INDEX(矿物图鉴!$C$2:$C$104,MATCH($B52,矿物图鉴!$A$2:$A$104,0))</f>
        <v>史诗</v>
      </c>
      <c r="E52" s="11" t="n">
        <f aca="false">INDEX(矿物图鉴!$E$2:$E$104,MATCH($B52,矿物图鉴!$A$2:$A$104,0))</f>
        <v>1300</v>
      </c>
      <c r="F52" s="29" t="s">
        <v>271</v>
      </c>
      <c r="G52" s="30" t="n">
        <f aca="false">IF($F52="是",稀有度固定概率设置!$B$6,IFERROR(INDEX(稀有度固定概率设置!$B$2:$B$5,MATCH($D52,稀有度固定概率设置!$A$2:$A$5,0)),""))</f>
        <v>0.005</v>
      </c>
      <c r="H52" s="31" t="n">
        <f aca="false">IF($G52&lt;&gt;"",$G52,(1-SUMIF($A$2:$A$111,$A52,$G$2:$G$111))/COUNTIFS($A$2:$A$111,$A52,$D$2:$D$111,"普通",$F$2:$F$111,"否"))</f>
        <v>0.005</v>
      </c>
      <c r="I52" s="32" t="n">
        <f aca="false">H52*E52</f>
        <v>6.5</v>
      </c>
    </row>
    <row r="53" customFormat="false" ht="16.4" hidden="false" customHeight="false" outlineLevel="0" collapsed="false">
      <c r="A53" s="29" t="s">
        <v>277</v>
      </c>
      <c r="B53" s="29" t="s">
        <v>147</v>
      </c>
      <c r="C53" s="13" t="str">
        <f aca="false">INDEX(矿物图鉴!$B$2:$B$104,MATCH($B53,矿物图鉴!$A$2:$A$104,0))</f>
        <v>常见宝石矿物</v>
      </c>
      <c r="D53" s="13" t="str">
        <f aca="false">INDEX(矿物图鉴!$C$2:$C$104,MATCH($B53,矿物图鉴!$A$2:$A$104,0))</f>
        <v>少见</v>
      </c>
      <c r="E53" s="11" t="n">
        <f aca="false">INDEX(矿物图鉴!$E$2:$E$104,MATCH($B53,矿物图鉴!$A$2:$A$104,0))</f>
        <v>120</v>
      </c>
      <c r="F53" s="29" t="s">
        <v>271</v>
      </c>
      <c r="G53" s="30" t="n">
        <f aca="false">IF($F53="是",稀有度固定概率设置!$B$6,IFERROR(INDEX(稀有度固定概率设置!$B$2:$B$5,MATCH($D53,稀有度固定概率设置!$A$2:$A$5,0)),""))</f>
        <v>0.06</v>
      </c>
      <c r="H53" s="31" t="n">
        <f aca="false">IF($G53&lt;&gt;"",$G53,(1-SUMIF($A$2:$A$111,$A53,$G$2:$G$111))/COUNTIFS($A$2:$A$111,$A53,$D$2:$D$111,"普通",$F$2:$F$111,"否"))</f>
        <v>0.06</v>
      </c>
      <c r="I53" s="32" t="n">
        <f aca="false">H53*E53</f>
        <v>7.2</v>
      </c>
    </row>
    <row r="54" customFormat="false" ht="16.4" hidden="false" customHeight="false" outlineLevel="0" collapsed="false">
      <c r="A54" s="29" t="s">
        <v>277</v>
      </c>
      <c r="B54" s="29" t="s">
        <v>142</v>
      </c>
      <c r="C54" s="13" t="str">
        <f aca="false">INDEX(矿物图鉴!$B$2:$B$104,MATCH($B54,矿物图鉴!$A$2:$A$104,0))</f>
        <v>常见宝石矿物</v>
      </c>
      <c r="D54" s="13" t="str">
        <f aca="false">INDEX(矿物图鉴!$C$2:$C$104,MATCH($B54,矿物图鉴!$A$2:$A$104,0))</f>
        <v>少见</v>
      </c>
      <c r="E54" s="11" t="n">
        <f aca="false">INDEX(矿物图鉴!$E$2:$E$104,MATCH($B54,矿物图鉴!$A$2:$A$104,0))</f>
        <v>150</v>
      </c>
      <c r="F54" s="29" t="s">
        <v>271</v>
      </c>
      <c r="G54" s="30" t="n">
        <f aca="false">IF($F54="是",稀有度固定概率设置!$B$6,IFERROR(INDEX(稀有度固定概率设置!$B$2:$B$5,MATCH($D54,稀有度固定概率设置!$A$2:$A$5,0)),""))</f>
        <v>0.06</v>
      </c>
      <c r="H54" s="31" t="n">
        <f aca="false">IF($G54&lt;&gt;"",$G54,(1-SUMIF($A$2:$A$111,$A54,$G$2:$G$111))/COUNTIFS($A$2:$A$111,$A54,$D$2:$D$111,"普通",$F$2:$F$111,"否"))</f>
        <v>0.06</v>
      </c>
      <c r="I54" s="32" t="n">
        <f aca="false">H54*E54</f>
        <v>9</v>
      </c>
    </row>
    <row r="55" customFormat="false" ht="16.4" hidden="false" customHeight="false" outlineLevel="0" collapsed="false">
      <c r="A55" s="29" t="s">
        <v>277</v>
      </c>
      <c r="B55" s="29" t="s">
        <v>222</v>
      </c>
      <c r="C55" s="13" t="str">
        <f aca="false">INDEX(矿物图鉴!$B$2:$B$104,MATCH($B55,矿物图鉴!$A$2:$A$104,0))</f>
        <v>珍稀晶体矿物</v>
      </c>
      <c r="D55" s="13" t="str">
        <f aca="false">INDEX(矿物图鉴!$C$2:$C$104,MATCH($B55,矿物图鉴!$A$2:$A$104,0))</f>
        <v>传说</v>
      </c>
      <c r="E55" s="11" t="n">
        <f aca="false">INDEX(矿物图鉴!$E$2:$E$104,MATCH($B55,矿物图鉴!$A$2:$A$104,0))</f>
        <v>4000</v>
      </c>
      <c r="F55" s="29" t="s">
        <v>271</v>
      </c>
      <c r="G55" s="30" t="n">
        <f aca="false">IF($F55="是",稀有度固定概率设置!$B$6,IFERROR(INDEX(稀有度固定概率设置!$B$2:$B$5,MATCH($D55,稀有度固定概率设置!$A$2:$A$5,0)),""))</f>
        <v>0.001</v>
      </c>
      <c r="H55" s="31" t="n">
        <f aca="false">IF($G55&lt;&gt;"",$G55,(1-SUMIF($A$2:$A$111,$A55,$G$2:$G$111))/COUNTIFS($A$2:$A$111,$A55,$D$2:$D$111,"普通",$F$2:$F$111,"否"))</f>
        <v>0.001</v>
      </c>
      <c r="I55" s="32" t="n">
        <f aca="false">H55*E55</f>
        <v>4</v>
      </c>
    </row>
    <row r="56" customFormat="false" ht="16.4" hidden="false" customHeight="false" outlineLevel="0" collapsed="false">
      <c r="A56" s="29" t="s">
        <v>277</v>
      </c>
      <c r="B56" s="29" t="s">
        <v>224</v>
      </c>
      <c r="C56" s="13" t="str">
        <f aca="false">INDEX(矿物图鉴!$B$2:$B$104,MATCH($B56,矿物图鉴!$A$2:$A$104,0))</f>
        <v>珍稀晶体矿物</v>
      </c>
      <c r="D56" s="13" t="str">
        <f aca="false">INDEX(矿物图鉴!$C$2:$C$104,MATCH($B56,矿物图鉴!$A$2:$A$104,0))</f>
        <v>传说</v>
      </c>
      <c r="E56" s="11" t="n">
        <f aca="false">INDEX(矿物图鉴!$E$2:$E$104,MATCH($B56,矿物图鉴!$A$2:$A$104,0))</f>
        <v>4200</v>
      </c>
      <c r="F56" s="29" t="s">
        <v>271</v>
      </c>
      <c r="G56" s="30" t="n">
        <f aca="false">IF($F56="是",稀有度固定概率设置!$B$6,IFERROR(INDEX(稀有度固定概率设置!$B$2:$B$5,MATCH($D56,稀有度固定概率设置!$A$2:$A$5,0)),""))</f>
        <v>0.001</v>
      </c>
      <c r="H56" s="31" t="n">
        <f aca="false">IF($G56&lt;&gt;"",$G56,(1-SUMIF($A$2:$A$111,$A56,$G$2:$G$111))/COUNTIFS($A$2:$A$111,$A56,$D$2:$D$111,"普通",$F$2:$F$111,"否"))</f>
        <v>0.001</v>
      </c>
      <c r="I56" s="32" t="n">
        <f aca="false">H56*E56</f>
        <v>4.2</v>
      </c>
    </row>
    <row r="57" customFormat="false" ht="16.4" hidden="false" customHeight="false" outlineLevel="0" collapsed="false">
      <c r="A57" s="29" t="s">
        <v>277</v>
      </c>
      <c r="B57" s="29" t="s">
        <v>228</v>
      </c>
      <c r="C57" s="13" t="str">
        <f aca="false">INDEX(矿物图鉴!$B$2:$B$104,MATCH($B57,矿物图鉴!$A$2:$A$104,0))</f>
        <v>珍稀晶体矿物</v>
      </c>
      <c r="D57" s="13" t="str">
        <f aca="false">INDEX(矿物图鉴!$C$2:$C$104,MATCH($B57,矿物图鉴!$A$2:$A$104,0))</f>
        <v>史诗</v>
      </c>
      <c r="E57" s="11" t="n">
        <f aca="false">INDEX(矿物图鉴!$E$2:$E$104,MATCH($B57,矿物图鉴!$A$2:$A$104,0))</f>
        <v>2000</v>
      </c>
      <c r="F57" s="29" t="s">
        <v>271</v>
      </c>
      <c r="G57" s="30" t="n">
        <f aca="false">IF($F57="是",稀有度固定概率设置!$B$6,IFERROR(INDEX(稀有度固定概率设置!$B$2:$B$5,MATCH($D57,稀有度固定概率设置!$A$2:$A$5,0)),""))</f>
        <v>0.005</v>
      </c>
      <c r="H57" s="31" t="n">
        <f aca="false">IF($G57&lt;&gt;"",$G57,(1-SUMIF($A$2:$A$111,$A57,$G$2:$G$111))/COUNTIFS($A$2:$A$111,$A57,$D$2:$D$111,"普通",$F$2:$F$111,"否"))</f>
        <v>0.005</v>
      </c>
      <c r="I57" s="32" t="n">
        <f aca="false">H57*E57</f>
        <v>10</v>
      </c>
    </row>
    <row r="58" customFormat="false" ht="16.4" hidden="false" customHeight="false" outlineLevel="0" collapsed="false">
      <c r="A58" s="29" t="s">
        <v>277</v>
      </c>
      <c r="B58" s="29" t="s">
        <v>221</v>
      </c>
      <c r="C58" s="13" t="str">
        <f aca="false">INDEX(矿物图鉴!$B$2:$B$104,MATCH($B58,矿物图鉴!$A$2:$A$104,0))</f>
        <v>珍稀晶体矿物</v>
      </c>
      <c r="D58" s="13" t="str">
        <f aca="false">INDEX(矿物图鉴!$C$2:$C$104,MATCH($B58,矿物图鉴!$A$2:$A$104,0))</f>
        <v>传说</v>
      </c>
      <c r="E58" s="11" t="n">
        <f aca="false">INDEX(矿物图鉴!$E$2:$E$104,MATCH($B58,矿物图鉴!$A$2:$A$104,0))</f>
        <v>5000</v>
      </c>
      <c r="F58" s="29" t="s">
        <v>271</v>
      </c>
      <c r="G58" s="30" t="n">
        <f aca="false">IF($F58="是",稀有度固定概率设置!$B$6,IFERROR(INDEX(稀有度固定概率设置!$B$2:$B$5,MATCH($D58,稀有度固定概率设置!$A$2:$A$5,0)),""))</f>
        <v>0.001</v>
      </c>
      <c r="H58" s="31" t="n">
        <f aca="false">IF($G58&lt;&gt;"",$G58,(1-SUMIF($A$2:$A$111,$A58,$G$2:$G$111))/COUNTIFS($A$2:$A$111,$A58,$D$2:$D$111,"普通",$F$2:$F$111,"否"))</f>
        <v>0.001</v>
      </c>
      <c r="I58" s="32" t="n">
        <f aca="false">H58*E58</f>
        <v>5</v>
      </c>
    </row>
    <row r="59" customFormat="false" ht="16.4" hidden="false" customHeight="false" outlineLevel="0" collapsed="false">
      <c r="A59" s="29" t="s">
        <v>277</v>
      </c>
      <c r="B59" s="29" t="s">
        <v>88</v>
      </c>
      <c r="C59" s="13" t="str">
        <f aca="false">INDEX(矿物图鉴!$B$2:$B$104,MATCH($B59,矿物图鉴!$A$2:$A$104,0))</f>
        <v>工业矿物</v>
      </c>
      <c r="D59" s="13" t="str">
        <f aca="false">INDEX(矿物图鉴!$C$2:$C$104,MATCH($B59,矿物图鉴!$A$2:$A$104,0))</f>
        <v>普通</v>
      </c>
      <c r="E59" s="11" t="n">
        <f aca="false">INDEX(矿物图鉴!$E$2:$E$104,MATCH($B59,矿物图鉴!$A$2:$A$104,0))</f>
        <v>10</v>
      </c>
      <c r="F59" s="29" t="s">
        <v>271</v>
      </c>
      <c r="G59" s="30" t="str">
        <f aca="false">IF($F59="是",稀有度固定概率设置!$B$6,IFERROR(INDEX(稀有度固定概率设置!$B$2:$B$5,MATCH($D59,稀有度固定概率设置!$A$2:$A$5,0)),""))</f>
        <v/>
      </c>
      <c r="H59" s="31" t="n">
        <f aca="false">IF($G59&lt;&gt;"",$G59,(1-SUMIF($A$2:$A$111,$A59,$G$2:$G$111))/COUNTIFS($A$2:$A$111,$A59,$D$2:$D$111,"普通",$F$2:$F$111,"否"))</f>
        <v>0.123</v>
      </c>
      <c r="I59" s="32" t="n">
        <f aca="false">H59*E59</f>
        <v>1.23</v>
      </c>
    </row>
    <row r="60" customFormat="false" ht="16.4" hidden="false" customHeight="false" outlineLevel="0" collapsed="false">
      <c r="A60" s="29" t="s">
        <v>277</v>
      </c>
      <c r="B60" s="29" t="s">
        <v>117</v>
      </c>
      <c r="C60" s="13" t="str">
        <f aca="false">INDEX(矿物图鉴!$B$2:$B$104,MATCH($B60,矿物图鉴!$A$2:$A$104,0))</f>
        <v>常见宝石矿物</v>
      </c>
      <c r="D60" s="13" t="str">
        <f aca="false">INDEX(矿物图鉴!$C$2:$C$104,MATCH($B60,矿物图鉴!$A$2:$A$104,0))</f>
        <v>传说</v>
      </c>
      <c r="E60" s="11" t="n">
        <f aca="false">INDEX(矿物图鉴!$E$2:$E$104,MATCH($B60,矿物图鉴!$A$2:$A$104,0))</f>
        <v>3000</v>
      </c>
      <c r="F60" s="29" t="s">
        <v>271</v>
      </c>
      <c r="G60" s="30" t="n">
        <f aca="false">IF($F60="是",稀有度固定概率设置!$B$6,IFERROR(INDEX(稀有度固定概率设置!$B$2:$B$5,MATCH($D60,稀有度固定概率设置!$A$2:$A$5,0)),""))</f>
        <v>0.001</v>
      </c>
      <c r="H60" s="31" t="n">
        <f aca="false">IF($G60&lt;&gt;"",$G60,(1-SUMIF($A$2:$A$111,$A60,$G$2:$G$111))/COUNTIFS($A$2:$A$111,$A60,$D$2:$D$111,"普通",$F$2:$F$111,"否"))</f>
        <v>0.001</v>
      </c>
      <c r="I60" s="32" t="n">
        <f aca="false">H60*E60</f>
        <v>3</v>
      </c>
    </row>
    <row r="61" customFormat="false" ht="16.4" hidden="false" customHeight="false" outlineLevel="0" collapsed="false">
      <c r="A61" s="33" t="s">
        <v>278</v>
      </c>
      <c r="B61" s="34"/>
      <c r="C61" s="34"/>
      <c r="D61" s="34"/>
      <c r="E61" s="34"/>
      <c r="F61" s="34"/>
      <c r="G61" s="34"/>
      <c r="H61" s="35" t="n">
        <f aca="false">SUM(H48:H60)</f>
        <v>1</v>
      </c>
      <c r="I61" s="36" t="n">
        <f aca="false">SUM(I48:I60)</f>
        <v>71.548</v>
      </c>
    </row>
    <row r="62" customFormat="false" ht="15" hidden="false" customHeight="false" outlineLevel="0" collapsed="false">
      <c r="A62" s="21" t="s">
        <v>279</v>
      </c>
      <c r="B62" s="21" t="s">
        <v>81</v>
      </c>
      <c r="C62" s="21" t="str">
        <f aca="false">INDEX(矿物图鉴!$B$2:$B$104,MATCH($B62,矿物图鉴!$A$2:$A$104,0))</f>
        <v>工业矿物</v>
      </c>
      <c r="D62" s="21" t="str">
        <f aca="false">INDEX(矿物图鉴!$C$2:$C$104,MATCH($B62,矿物图鉴!$A$2:$A$104,0))</f>
        <v>普通</v>
      </c>
      <c r="E62" s="25" t="n">
        <f aca="false">INDEX(矿物图鉴!$E$2:$E$104,MATCH($B62,矿物图鉴!$A$2:$A$104,0))</f>
        <v>12</v>
      </c>
      <c r="F62" s="21" t="s">
        <v>270</v>
      </c>
      <c r="G62" s="26" t="n">
        <f aca="false">IF($F62="是",稀有度固定概率设置!$B$6,IFERROR(INDEX(稀有度固定概率设置!$B$2:$B$5,MATCH($D62,稀有度固定概率设置!$A$2:$A$5,0)),""))</f>
        <v>0.5</v>
      </c>
      <c r="H62" s="27" t="n">
        <f aca="false">IF($G62&lt;&gt;"",$G62,(1-SUMIF($A$2:$A$111,$A62,$G$2:$G$111))/COUNTIFS($A$2:$A$111,$A62,$D$2:$D$111,"普通",$F$2:$F$111,"否"))</f>
        <v>0.5</v>
      </c>
      <c r="I62" s="28" t="n">
        <f aca="false">H62*E62</f>
        <v>6</v>
      </c>
    </row>
    <row r="63" customFormat="false" ht="15" hidden="false" customHeight="false" outlineLevel="0" collapsed="false">
      <c r="A63" s="29" t="s">
        <v>279</v>
      </c>
      <c r="B63" s="29" t="s">
        <v>75</v>
      </c>
      <c r="C63" s="13" t="str">
        <f aca="false">INDEX(矿物图鉴!$B$2:$B$104,MATCH($B63,矿物图鉴!$A$2:$A$104,0))</f>
        <v>工业矿物</v>
      </c>
      <c r="D63" s="13" t="str">
        <f aca="false">INDEX(矿物图鉴!$C$2:$C$104,MATCH($B63,矿物图鉴!$A$2:$A$104,0))</f>
        <v>普通</v>
      </c>
      <c r="E63" s="11" t="n">
        <f aca="false">INDEX(矿物图鉴!$E$2:$E$104,MATCH($B63,矿物图鉴!$A$2:$A$104,0))</f>
        <v>4</v>
      </c>
      <c r="F63" s="29" t="s">
        <v>271</v>
      </c>
      <c r="G63" s="30" t="str">
        <f aca="false">IF($F63="是",稀有度固定概率设置!$B$6,IFERROR(INDEX(稀有度固定概率设置!$B$2:$B$5,MATCH($D63,稀有度固定概率设置!$A$2:$A$5,0)),""))</f>
        <v/>
      </c>
      <c r="H63" s="31" t="n">
        <f aca="false">IF($G63&lt;&gt;"",$G63,(1-SUMIF($A$2:$A$111,$A63,$G$2:$G$111))/COUNTIFS($A$2:$A$111,$A63,$D$2:$D$111,"普通",$F$2:$F$111,"否"))</f>
        <v>0.04725</v>
      </c>
      <c r="I63" s="32" t="n">
        <f aca="false">H63*E63</f>
        <v>0.189</v>
      </c>
    </row>
    <row r="64" customFormat="false" ht="15" hidden="false" customHeight="false" outlineLevel="0" collapsed="false">
      <c r="A64" s="29" t="s">
        <v>279</v>
      </c>
      <c r="B64" s="29" t="s">
        <v>102</v>
      </c>
      <c r="C64" s="13" t="str">
        <f aca="false">INDEX(矿物图鉴!$B$2:$B$104,MATCH($B64,矿物图鉴!$A$2:$A$104,0))</f>
        <v>工业矿物</v>
      </c>
      <c r="D64" s="13" t="str">
        <f aca="false">INDEX(矿物图鉴!$C$2:$C$104,MATCH($B64,矿物图鉴!$A$2:$A$104,0))</f>
        <v>少见</v>
      </c>
      <c r="E64" s="11" t="n">
        <f aca="false">INDEX(矿物图鉴!$E$2:$E$104,MATCH($B64,矿物图鉴!$A$2:$A$104,0))</f>
        <v>14</v>
      </c>
      <c r="F64" s="29" t="s">
        <v>271</v>
      </c>
      <c r="G64" s="30" t="n">
        <f aca="false">IF($F64="是",稀有度固定概率设置!$B$6,IFERROR(INDEX(稀有度固定概率设置!$B$2:$B$5,MATCH($D64,稀有度固定概率设置!$A$2:$A$5,0)),""))</f>
        <v>0.06</v>
      </c>
      <c r="H64" s="31" t="n">
        <f aca="false">IF($G64&lt;&gt;"",$G64,(1-SUMIF($A$2:$A$111,$A64,$G$2:$G$111))/COUNTIFS($A$2:$A$111,$A64,$D$2:$D$111,"普通",$F$2:$F$111,"否"))</f>
        <v>0.06</v>
      </c>
      <c r="I64" s="32" t="n">
        <f aca="false">H64*E64</f>
        <v>0.84</v>
      </c>
    </row>
    <row r="65" customFormat="false" ht="15" hidden="false" customHeight="false" outlineLevel="0" collapsed="false">
      <c r="A65" s="29" t="s">
        <v>279</v>
      </c>
      <c r="B65" s="29" t="s">
        <v>90</v>
      </c>
      <c r="C65" s="13" t="str">
        <f aca="false">INDEX(矿物图鉴!$B$2:$B$104,MATCH($B65,矿物图鉴!$A$2:$A$104,0))</f>
        <v>工业矿物</v>
      </c>
      <c r="D65" s="13" t="str">
        <f aca="false">INDEX(矿物图鉴!$C$2:$C$104,MATCH($B65,矿物图鉴!$A$2:$A$104,0))</f>
        <v>普通</v>
      </c>
      <c r="E65" s="11" t="n">
        <f aca="false">INDEX(矿物图鉴!$E$2:$E$104,MATCH($B65,矿物图鉴!$A$2:$A$104,0))</f>
        <v>8</v>
      </c>
      <c r="F65" s="29" t="s">
        <v>271</v>
      </c>
      <c r="G65" s="30" t="str">
        <f aca="false">IF($F65="是",稀有度固定概率设置!$B$6,IFERROR(INDEX(稀有度固定概率设置!$B$2:$B$5,MATCH($D65,稀有度固定概率设置!$A$2:$A$5,0)),""))</f>
        <v/>
      </c>
      <c r="H65" s="31" t="n">
        <f aca="false">IF($G65&lt;&gt;"",$G65,(1-SUMIF($A$2:$A$111,$A65,$G$2:$G$111))/COUNTIFS($A$2:$A$111,$A65,$D$2:$D$111,"普通",$F$2:$F$111,"否"))</f>
        <v>0.04725</v>
      </c>
      <c r="I65" s="32" t="n">
        <f aca="false">H65*E65</f>
        <v>0.378</v>
      </c>
    </row>
    <row r="66" customFormat="false" ht="15" hidden="false" customHeight="false" outlineLevel="0" collapsed="false">
      <c r="A66" s="29" t="s">
        <v>279</v>
      </c>
      <c r="B66" s="29" t="s">
        <v>153</v>
      </c>
      <c r="C66" s="13" t="str">
        <f aca="false">INDEX(矿物图鉴!$B$2:$B$104,MATCH($B66,矿物图鉴!$A$2:$A$104,0))</f>
        <v>常见宝石矿物</v>
      </c>
      <c r="D66" s="13" t="str">
        <f aca="false">INDEX(矿物图鉴!$C$2:$C$104,MATCH($B66,矿物图鉴!$A$2:$A$104,0))</f>
        <v>少见</v>
      </c>
      <c r="E66" s="11" t="n">
        <f aca="false">INDEX(矿物图鉴!$E$2:$E$104,MATCH($B66,矿物图鉴!$A$2:$A$104,0))</f>
        <v>140</v>
      </c>
      <c r="F66" s="29" t="s">
        <v>271</v>
      </c>
      <c r="G66" s="30" t="n">
        <f aca="false">IF($F66="是",稀有度固定概率设置!$B$6,IFERROR(INDEX(稀有度固定概率设置!$B$2:$B$5,MATCH($D66,稀有度固定概率设置!$A$2:$A$5,0)),""))</f>
        <v>0.06</v>
      </c>
      <c r="H66" s="31" t="n">
        <f aca="false">IF($G66&lt;&gt;"",$G66,(1-SUMIF($A$2:$A$111,$A66,$G$2:$G$111))/COUNTIFS($A$2:$A$111,$A66,$D$2:$D$111,"普通",$F$2:$F$111,"否"))</f>
        <v>0.06</v>
      </c>
      <c r="I66" s="32" t="n">
        <f aca="false">H66*E66</f>
        <v>8.4</v>
      </c>
    </row>
    <row r="67" customFormat="false" ht="15" hidden="false" customHeight="false" outlineLevel="0" collapsed="false">
      <c r="A67" s="29" t="s">
        <v>279</v>
      </c>
      <c r="B67" s="29" t="s">
        <v>156</v>
      </c>
      <c r="C67" s="13" t="str">
        <f aca="false">INDEX(矿物图鉴!$B$2:$B$104,MATCH($B67,矿物图鉴!$A$2:$A$104,0))</f>
        <v>常见宝石矿物</v>
      </c>
      <c r="D67" s="13" t="str">
        <f aca="false">INDEX(矿物图鉴!$C$2:$C$104,MATCH($B67,矿物图鉴!$A$2:$A$104,0))</f>
        <v>少见</v>
      </c>
      <c r="E67" s="11" t="n">
        <f aca="false">INDEX(矿物图鉴!$E$2:$E$104,MATCH($B67,矿物图鉴!$A$2:$A$104,0))</f>
        <v>130</v>
      </c>
      <c r="F67" s="29" t="s">
        <v>271</v>
      </c>
      <c r="G67" s="30" t="n">
        <f aca="false">IF($F67="是",稀有度固定概率设置!$B$6,IFERROR(INDEX(稀有度固定概率设置!$B$2:$B$5,MATCH($D67,稀有度固定概率设置!$A$2:$A$5,0)),""))</f>
        <v>0.06</v>
      </c>
      <c r="H67" s="31" t="n">
        <f aca="false">IF($G67&lt;&gt;"",$G67,(1-SUMIF($A$2:$A$111,$A67,$G$2:$G$111))/COUNTIFS($A$2:$A$111,$A67,$D$2:$D$111,"普通",$F$2:$F$111,"否"))</f>
        <v>0.06</v>
      </c>
      <c r="I67" s="32" t="n">
        <f aca="false">H67*E67</f>
        <v>7.8</v>
      </c>
    </row>
    <row r="68" customFormat="false" ht="15" hidden="false" customHeight="false" outlineLevel="0" collapsed="false">
      <c r="A68" s="29" t="s">
        <v>279</v>
      </c>
      <c r="B68" s="29" t="s">
        <v>232</v>
      </c>
      <c r="C68" s="13" t="str">
        <f aca="false">INDEX(矿物图鉴!$B$2:$B$104,MATCH($B68,矿物图鉴!$A$2:$A$104,0))</f>
        <v>珍稀晶体矿物</v>
      </c>
      <c r="D68" s="13" t="str">
        <f aca="false">INDEX(矿物图鉴!$C$2:$C$104,MATCH($B68,矿物图鉴!$A$2:$A$104,0))</f>
        <v>传说</v>
      </c>
      <c r="E68" s="11" t="n">
        <f aca="false">INDEX(矿物图鉴!$E$2:$E$104,MATCH($B68,矿物图鉴!$A$2:$A$104,0))</f>
        <v>3500</v>
      </c>
      <c r="F68" s="29" t="s">
        <v>271</v>
      </c>
      <c r="G68" s="30" t="n">
        <f aca="false">IF($F68="是",稀有度固定概率设置!$B$6,IFERROR(INDEX(稀有度固定概率设置!$B$2:$B$5,MATCH($D68,稀有度固定概率设置!$A$2:$A$5,0)),""))</f>
        <v>0.001</v>
      </c>
      <c r="H68" s="31" t="n">
        <f aca="false">IF($G68&lt;&gt;"",$G68,(1-SUMIF($A$2:$A$111,$A68,$G$2:$G$111))/COUNTIFS($A$2:$A$111,$A68,$D$2:$D$111,"普通",$F$2:$F$111,"否"))</f>
        <v>0.001</v>
      </c>
      <c r="I68" s="32" t="n">
        <f aca="false">H68*E68</f>
        <v>3.5</v>
      </c>
    </row>
    <row r="69" customFormat="false" ht="15" hidden="false" customHeight="false" outlineLevel="0" collapsed="false">
      <c r="A69" s="29" t="s">
        <v>279</v>
      </c>
      <c r="B69" s="29" t="s">
        <v>145</v>
      </c>
      <c r="C69" s="13" t="str">
        <f aca="false">INDEX(矿物图鉴!$B$2:$B$104,MATCH($B69,矿物图鉴!$A$2:$A$104,0))</f>
        <v>常见宝石矿物</v>
      </c>
      <c r="D69" s="13" t="str">
        <f aca="false">INDEX(矿物图鉴!$C$2:$C$104,MATCH($B69,矿物图鉴!$A$2:$A$104,0))</f>
        <v>少见</v>
      </c>
      <c r="E69" s="11" t="n">
        <f aca="false">INDEX(矿物图鉴!$E$2:$E$104,MATCH($B69,矿物图鉴!$A$2:$A$104,0))</f>
        <v>180</v>
      </c>
      <c r="F69" s="29" t="s">
        <v>271</v>
      </c>
      <c r="G69" s="30" t="n">
        <f aca="false">IF($F69="是",稀有度固定概率设置!$B$6,IFERROR(INDEX(稀有度固定概率设置!$B$2:$B$5,MATCH($D69,稀有度固定概率设置!$A$2:$A$5,0)),""))</f>
        <v>0.06</v>
      </c>
      <c r="H69" s="31" t="n">
        <f aca="false">IF($G69&lt;&gt;"",$G69,(1-SUMIF($A$2:$A$111,$A69,$G$2:$G$111))/COUNTIFS($A$2:$A$111,$A69,$D$2:$D$111,"普通",$F$2:$F$111,"否"))</f>
        <v>0.06</v>
      </c>
      <c r="I69" s="32" t="n">
        <f aca="false">H69*E69</f>
        <v>10.8</v>
      </c>
    </row>
    <row r="70" customFormat="false" ht="15" hidden="false" customHeight="false" outlineLevel="0" collapsed="false">
      <c r="A70" s="29" t="s">
        <v>279</v>
      </c>
      <c r="B70" s="29" t="s">
        <v>183</v>
      </c>
      <c r="C70" s="13" t="str">
        <f aca="false">INDEX(矿物图鉴!$B$2:$B$104,MATCH($B70,矿物图鉴!$A$2:$A$104,0))</f>
        <v>常见宝石矿物</v>
      </c>
      <c r="D70" s="13" t="str">
        <f aca="false">INDEX(矿物图鉴!$C$2:$C$104,MATCH($B70,矿物图鉴!$A$2:$A$104,0))</f>
        <v>普通</v>
      </c>
      <c r="E70" s="11" t="n">
        <f aca="false">INDEX(矿物图鉴!$E$2:$E$104,MATCH($B70,矿物图鉴!$A$2:$A$104,0))</f>
        <v>40</v>
      </c>
      <c r="F70" s="29" t="s">
        <v>271</v>
      </c>
      <c r="G70" s="30" t="str">
        <f aca="false">IF($F70="是",稀有度固定概率设置!$B$6,IFERROR(INDEX(稀有度固定概率设置!$B$2:$B$5,MATCH($D70,稀有度固定概率设置!$A$2:$A$5,0)),""))</f>
        <v/>
      </c>
      <c r="H70" s="31" t="n">
        <f aca="false">IF($G70&lt;&gt;"",$G70,(1-SUMIF($A$2:$A$111,$A70,$G$2:$G$111))/COUNTIFS($A$2:$A$111,$A70,$D$2:$D$111,"普通",$F$2:$F$111,"否"))</f>
        <v>0.04725</v>
      </c>
      <c r="I70" s="32" t="n">
        <f aca="false">H70*E70</f>
        <v>1.89</v>
      </c>
    </row>
    <row r="71" customFormat="false" ht="15" hidden="false" customHeight="false" outlineLevel="0" collapsed="false">
      <c r="A71" s="29" t="s">
        <v>279</v>
      </c>
      <c r="B71" s="29" t="s">
        <v>211</v>
      </c>
      <c r="C71" s="13" t="str">
        <f aca="false">INDEX(矿物图鉴!$B$2:$B$104,MATCH($B71,矿物图鉴!$A$2:$A$104,0))</f>
        <v>化石</v>
      </c>
      <c r="D71" s="13" t="str">
        <f aca="false">INDEX(矿物图鉴!$C$2:$C$104,MATCH($B71,矿物图鉴!$A$2:$A$104,0))</f>
        <v>少见</v>
      </c>
      <c r="E71" s="11" t="n">
        <f aca="false">INDEX(矿物图鉴!$E$2:$E$104,MATCH($B71,矿物图鉴!$A$2:$A$104,0))</f>
        <v>220</v>
      </c>
      <c r="F71" s="29" t="s">
        <v>271</v>
      </c>
      <c r="G71" s="30" t="n">
        <f aca="false">IF($F71="是",稀有度固定概率设置!$B$6,IFERROR(INDEX(稀有度固定概率设置!$B$2:$B$5,MATCH($D71,稀有度固定概率设置!$A$2:$A$5,0)),""))</f>
        <v>0.06</v>
      </c>
      <c r="H71" s="31" t="n">
        <f aca="false">IF($G71&lt;&gt;"",$G71,(1-SUMIF($A$2:$A$111,$A71,$G$2:$G$111))/COUNTIFS($A$2:$A$111,$A71,$D$2:$D$111,"普通",$F$2:$F$111,"否"))</f>
        <v>0.06</v>
      </c>
      <c r="I71" s="32" t="n">
        <f aca="false">H71*E71</f>
        <v>13.2</v>
      </c>
    </row>
    <row r="72" customFormat="false" ht="15" hidden="false" customHeight="false" outlineLevel="0" collapsed="false">
      <c r="A72" s="29" t="s">
        <v>279</v>
      </c>
      <c r="B72" s="29" t="s">
        <v>94</v>
      </c>
      <c r="C72" s="13" t="str">
        <f aca="false">INDEX(矿物图鉴!$B$2:$B$104,MATCH($B72,矿物图鉴!$A$2:$A$104,0))</f>
        <v>工业矿物</v>
      </c>
      <c r="D72" s="13" t="str">
        <f aca="false">INDEX(矿物图鉴!$C$2:$C$104,MATCH($B72,矿物图鉴!$A$2:$A$104,0))</f>
        <v>普通</v>
      </c>
      <c r="E72" s="11" t="n">
        <f aca="false">INDEX(矿物图鉴!$E$2:$E$104,MATCH($B72,矿物图鉴!$A$2:$A$104,0))</f>
        <v>4</v>
      </c>
      <c r="F72" s="29" t="s">
        <v>271</v>
      </c>
      <c r="G72" s="30" t="str">
        <f aca="false">IF($F72="是",稀有度固定概率设置!$B$6,IFERROR(INDEX(稀有度固定概率设置!$B$2:$B$5,MATCH($D72,稀有度固定概率设置!$A$2:$A$5,0)),""))</f>
        <v/>
      </c>
      <c r="H72" s="31" t="n">
        <f aca="false">IF($G72&lt;&gt;"",$G72,(1-SUMIF($A$2:$A$111,$A72,$G$2:$G$111))/COUNTIFS($A$2:$A$111,$A72,$D$2:$D$111,"普通",$F$2:$F$111,"否"))</f>
        <v>0.04725</v>
      </c>
      <c r="I72" s="32" t="n">
        <f aca="false">H72*E72</f>
        <v>0.189</v>
      </c>
    </row>
    <row r="73" customFormat="false" ht="15" hidden="false" customHeight="false" outlineLevel="0" collapsed="false">
      <c r="A73" s="29" t="s">
        <v>279</v>
      </c>
      <c r="B73" s="29" t="s">
        <v>200</v>
      </c>
      <c r="C73" s="13" t="str">
        <f aca="false">INDEX(矿物图鉴!$B$2:$B$104,MATCH($B73,矿物图鉴!$A$2:$A$104,0))</f>
        <v>化石</v>
      </c>
      <c r="D73" s="13" t="str">
        <f aca="false">INDEX(矿物图鉴!$C$2:$C$104,MATCH($B73,矿物图鉴!$A$2:$A$104,0))</f>
        <v>史诗</v>
      </c>
      <c r="E73" s="11" t="n">
        <f aca="false">INDEX(矿物图鉴!$E$2:$E$104,MATCH($B73,矿物图鉴!$A$2:$A$104,0))</f>
        <v>3000</v>
      </c>
      <c r="F73" s="29" t="s">
        <v>271</v>
      </c>
      <c r="G73" s="30" t="n">
        <f aca="false">IF($F73="是",稀有度固定概率设置!$B$6,IFERROR(INDEX(稀有度固定概率设置!$B$2:$B$5,MATCH($D73,稀有度固定概率设置!$A$2:$A$5,0)),""))</f>
        <v>0.005</v>
      </c>
      <c r="H73" s="31" t="n">
        <f aca="false">IF($G73&lt;&gt;"",$G73,(1-SUMIF($A$2:$A$111,$A73,$G$2:$G$111))/COUNTIFS($A$2:$A$111,$A73,$D$2:$D$111,"普通",$F$2:$F$111,"否"))</f>
        <v>0.005</v>
      </c>
      <c r="I73" s="32" t="n">
        <f aca="false">H73*E73</f>
        <v>15</v>
      </c>
    </row>
    <row r="74" customFormat="false" ht="15" hidden="false" customHeight="false" outlineLevel="0" collapsed="false">
      <c r="A74" s="29" t="s">
        <v>279</v>
      </c>
      <c r="B74" s="29" t="s">
        <v>199</v>
      </c>
      <c r="C74" s="13" t="str">
        <f aca="false">INDEX(矿物图鉴!$B$2:$B$104,MATCH($B74,矿物图鉴!$A$2:$A$104,0))</f>
        <v>化石</v>
      </c>
      <c r="D74" s="13" t="str">
        <f aca="false">INDEX(矿物图鉴!$C$2:$C$104,MATCH($B74,矿物图鉴!$A$2:$A$104,0))</f>
        <v>史诗</v>
      </c>
      <c r="E74" s="11" t="n">
        <f aca="false">INDEX(矿物图鉴!$E$2:$E$104,MATCH($B74,矿物图鉴!$A$2:$A$104,0))</f>
        <v>2500</v>
      </c>
      <c r="F74" s="29" t="s">
        <v>271</v>
      </c>
      <c r="G74" s="30" t="n">
        <f aca="false">IF($F74="是",稀有度固定概率设置!$B$6,IFERROR(INDEX(稀有度固定概率设置!$B$2:$B$5,MATCH($D74,稀有度固定概率设置!$A$2:$A$5,0)),""))</f>
        <v>0.005</v>
      </c>
      <c r="H74" s="31" t="n">
        <f aca="false">IF($G74&lt;&gt;"",$G74,(1-SUMIF($A$2:$A$111,$A74,$G$2:$G$111))/COUNTIFS($A$2:$A$111,$A74,$D$2:$D$111,"普通",$F$2:$F$111,"否"))</f>
        <v>0.005</v>
      </c>
      <c r="I74" s="32" t="n">
        <f aca="false">H74*E74</f>
        <v>12.5</v>
      </c>
    </row>
    <row r="75" customFormat="false" ht="16.4" hidden="false" customHeight="false" outlineLevel="0" collapsed="false">
      <c r="A75" s="33" t="s">
        <v>280</v>
      </c>
      <c r="B75" s="34"/>
      <c r="C75" s="34"/>
      <c r="D75" s="34"/>
      <c r="E75" s="34"/>
      <c r="F75" s="34"/>
      <c r="G75" s="34"/>
      <c r="H75" s="35" t="n">
        <f aca="false">SUM(H62:H74)</f>
        <v>1</v>
      </c>
      <c r="I75" s="36" t="n">
        <f aca="false">SUM(I62:I74)</f>
        <v>80.686</v>
      </c>
    </row>
    <row r="76" customFormat="false" ht="16.4" hidden="false" customHeight="false" outlineLevel="0" collapsed="false">
      <c r="A76" s="21" t="s">
        <v>281</v>
      </c>
      <c r="B76" s="21" t="s">
        <v>110</v>
      </c>
      <c r="C76" s="21" t="str">
        <f aca="false">INDEX(矿物图鉴!$B$2:$B$104,MATCH($B76,矿物图鉴!$A$2:$A$104,0))</f>
        <v>工业矿物</v>
      </c>
      <c r="D76" s="21" t="str">
        <f aca="false">INDEX(矿物图鉴!$C$2:$C$104,MATCH($B76,矿物图鉴!$A$2:$A$104,0))</f>
        <v>普通</v>
      </c>
      <c r="E76" s="25" t="n">
        <f aca="false">INDEX(矿物图鉴!$E$2:$E$104,MATCH($B76,矿物图鉴!$A$2:$A$104,0))</f>
        <v>25</v>
      </c>
      <c r="F76" s="21" t="s">
        <v>270</v>
      </c>
      <c r="G76" s="26" t="n">
        <f aca="false">IF($F76="是",稀有度固定概率设置!$B$6,IFERROR(INDEX(稀有度固定概率设置!$B$2:$B$5,MATCH($D76,稀有度固定概率设置!$A$2:$A$5,0)),""))</f>
        <v>0.5</v>
      </c>
      <c r="H76" s="27" t="n">
        <f aca="false">IF($G76&lt;&gt;"",$G76,(1-SUMIF($A$2:$A$111,$A76,$G$2:$G$111))/COUNTIFS($A$2:$A$111,$A76,$D$2:$D$111,"普通",$F$2:$F$111,"否"))</f>
        <v>0.5</v>
      </c>
      <c r="I76" s="28" t="n">
        <f aca="false">H76*E76</f>
        <v>12.5</v>
      </c>
    </row>
    <row r="77" customFormat="false" ht="16.4" hidden="false" customHeight="false" outlineLevel="0" collapsed="false">
      <c r="A77" s="29" t="s">
        <v>281</v>
      </c>
      <c r="B77" s="29" t="s">
        <v>98</v>
      </c>
      <c r="C77" s="13" t="str">
        <f aca="false">INDEX(矿物图鉴!$B$2:$B$104,MATCH($B77,矿物图鉴!$A$2:$A$104,0))</f>
        <v>工业矿物</v>
      </c>
      <c r="D77" s="13" t="str">
        <f aca="false">INDEX(矿物图鉴!$C$2:$C$104,MATCH($B77,矿物图鉴!$A$2:$A$104,0))</f>
        <v>普通</v>
      </c>
      <c r="E77" s="11" t="n">
        <f aca="false">INDEX(矿物图鉴!$E$2:$E$104,MATCH($B77,矿物图鉴!$A$2:$A$104,0))</f>
        <v>7</v>
      </c>
      <c r="F77" s="29" t="s">
        <v>271</v>
      </c>
      <c r="G77" s="30" t="str">
        <f aca="false">IF($F77="是",稀有度固定概率设置!$B$6,IFERROR(INDEX(稀有度固定概率设置!$B$2:$B$5,MATCH($D77,稀有度固定概率设置!$A$2:$A$5,0)),""))</f>
        <v/>
      </c>
      <c r="H77" s="31" t="n">
        <f aca="false">IF($G77&lt;&gt;"",$G77,(1-SUMIF($A$2:$A$111,$A77,$G$2:$G$111))/COUNTIFS($A$2:$A$111,$A77,$D$2:$D$111,"普通",$F$2:$F$111,"否"))</f>
        <v>0.1345</v>
      </c>
      <c r="I77" s="32" t="n">
        <f aca="false">H77*E77</f>
        <v>0.9415</v>
      </c>
    </row>
    <row r="78" customFormat="false" ht="16.4" hidden="false" customHeight="false" outlineLevel="0" collapsed="false">
      <c r="A78" s="29" t="s">
        <v>281</v>
      </c>
      <c r="B78" s="29" t="s">
        <v>192</v>
      </c>
      <c r="C78" s="13" t="str">
        <f aca="false">INDEX(矿物图鉴!$B$2:$B$104,MATCH($B78,矿物图鉴!$A$2:$A$104,0))</f>
        <v>常见宝石矿物</v>
      </c>
      <c r="D78" s="13" t="str">
        <f aca="false">INDEX(矿物图鉴!$C$2:$C$104,MATCH($B78,矿物图鉴!$A$2:$A$104,0))</f>
        <v>少见</v>
      </c>
      <c r="E78" s="11" t="n">
        <f aca="false">INDEX(矿物图鉴!$E$2:$E$104,MATCH($B78,矿物图鉴!$A$2:$A$104,0))</f>
        <v>20</v>
      </c>
      <c r="F78" s="29" t="s">
        <v>271</v>
      </c>
      <c r="G78" s="30" t="n">
        <f aca="false">IF($F78="是",稀有度固定概率设置!$B$6,IFERROR(INDEX(稀有度固定概率设置!$B$2:$B$5,MATCH($D78,稀有度固定概率设置!$A$2:$A$5,0)),""))</f>
        <v>0.06</v>
      </c>
      <c r="H78" s="31" t="n">
        <f aca="false">IF($G78&lt;&gt;"",$G78,(1-SUMIF($A$2:$A$111,$A78,$G$2:$G$111))/COUNTIFS($A$2:$A$111,$A78,$D$2:$D$111,"普通",$F$2:$F$111,"否"))</f>
        <v>0.06</v>
      </c>
      <c r="I78" s="32" t="n">
        <f aca="false">H78*E78</f>
        <v>1.2</v>
      </c>
    </row>
    <row r="79" customFormat="false" ht="16.4" hidden="false" customHeight="false" outlineLevel="0" collapsed="false">
      <c r="A79" s="29" t="s">
        <v>281</v>
      </c>
      <c r="B79" s="29" t="s">
        <v>126</v>
      </c>
      <c r="C79" s="13" t="str">
        <f aca="false">INDEX(矿物图鉴!$B$2:$B$104,MATCH($B79,矿物图鉴!$A$2:$A$104,0))</f>
        <v>常见宝石矿物</v>
      </c>
      <c r="D79" s="13" t="str">
        <f aca="false">INDEX(矿物图鉴!$C$2:$C$104,MATCH($B79,矿物图鉴!$A$2:$A$104,0))</f>
        <v>史诗</v>
      </c>
      <c r="E79" s="11" t="n">
        <f aca="false">INDEX(矿物图鉴!$E$2:$E$104,MATCH($B79,矿物图鉴!$A$2:$A$104,0))</f>
        <v>1600</v>
      </c>
      <c r="F79" s="29" t="s">
        <v>271</v>
      </c>
      <c r="G79" s="30" t="n">
        <f aca="false">IF($F79="是",稀有度固定概率设置!$B$6,IFERROR(INDEX(稀有度固定概率设置!$B$2:$B$5,MATCH($D79,稀有度固定概率设置!$A$2:$A$5,0)),""))</f>
        <v>0.005</v>
      </c>
      <c r="H79" s="31" t="n">
        <f aca="false">IF($G79&lt;&gt;"",$G79,(1-SUMIF($A$2:$A$111,$A79,$G$2:$G$111))/COUNTIFS($A$2:$A$111,$A79,$D$2:$D$111,"普通",$F$2:$F$111,"否"))</f>
        <v>0.005</v>
      </c>
      <c r="I79" s="32" t="n">
        <f aca="false">H79*E79</f>
        <v>8</v>
      </c>
    </row>
    <row r="80" customFormat="false" ht="16.4" hidden="false" customHeight="false" outlineLevel="0" collapsed="false">
      <c r="A80" s="29" t="s">
        <v>281</v>
      </c>
      <c r="B80" s="29" t="s">
        <v>137</v>
      </c>
      <c r="C80" s="13" t="str">
        <f aca="false">INDEX(矿物图鉴!$B$2:$B$104,MATCH($B80,矿物图鉴!$A$2:$A$104,0))</f>
        <v>常见宝石矿物</v>
      </c>
      <c r="D80" s="13" t="str">
        <f aca="false">INDEX(矿物图鉴!$C$2:$C$104,MATCH($B80,矿物图鉴!$A$2:$A$104,0))</f>
        <v>稀有</v>
      </c>
      <c r="E80" s="11" t="n">
        <f aca="false">INDEX(矿物图鉴!$E$2:$E$104,MATCH($B80,矿物图鉴!$A$2:$A$104,0))</f>
        <v>600</v>
      </c>
      <c r="F80" s="29" t="s">
        <v>271</v>
      </c>
      <c r="G80" s="30" t="n">
        <f aca="false">IF($F80="是",稀有度固定概率设置!$B$6,IFERROR(INDEX(稀有度固定概率设置!$B$2:$B$5,MATCH($D80,稀有度固定概率设置!$A$2:$A$5,0)),""))</f>
        <v>0.02</v>
      </c>
      <c r="H80" s="31" t="n">
        <f aca="false">IF($G80&lt;&gt;"",$G80,(1-SUMIF($A$2:$A$111,$A80,$G$2:$G$111))/COUNTIFS($A$2:$A$111,$A80,$D$2:$D$111,"普通",$F$2:$F$111,"否"))</f>
        <v>0.02</v>
      </c>
      <c r="I80" s="32" t="n">
        <f aca="false">H80*E80</f>
        <v>12</v>
      </c>
    </row>
    <row r="81" customFormat="false" ht="16.4" hidden="false" customHeight="false" outlineLevel="0" collapsed="false">
      <c r="A81" s="29" t="s">
        <v>281</v>
      </c>
      <c r="B81" s="29" t="s">
        <v>240</v>
      </c>
      <c r="C81" s="13" t="str">
        <f aca="false">INDEX(矿物图鉴!$B$2:$B$104,MATCH($B81,矿物图鉴!$A$2:$A$104,0))</f>
        <v>珍稀晶体矿物</v>
      </c>
      <c r="D81" s="13" t="str">
        <f aca="false">INDEX(矿物图鉴!$C$2:$C$104,MATCH($B81,矿物图鉴!$A$2:$A$104,0))</f>
        <v>传说</v>
      </c>
      <c r="E81" s="11" t="n">
        <f aca="false">INDEX(矿物图鉴!$E$2:$E$104,MATCH($B81,矿物图鉴!$A$2:$A$104,0))</f>
        <v>2800</v>
      </c>
      <c r="F81" s="29" t="s">
        <v>271</v>
      </c>
      <c r="G81" s="30" t="n">
        <f aca="false">IF($F81="是",稀有度固定概率设置!$B$6,IFERROR(INDEX(稀有度固定概率设置!$B$2:$B$5,MATCH($D81,稀有度固定概率设置!$A$2:$A$5,0)),""))</f>
        <v>0.001</v>
      </c>
      <c r="H81" s="31" t="n">
        <f aca="false">IF($G81&lt;&gt;"",$G81,(1-SUMIF($A$2:$A$111,$A81,$G$2:$G$111))/COUNTIFS($A$2:$A$111,$A81,$D$2:$D$111,"普通",$F$2:$F$111,"否"))</f>
        <v>0.001</v>
      </c>
      <c r="I81" s="32" t="n">
        <f aca="false">H81*E81</f>
        <v>2.8</v>
      </c>
    </row>
    <row r="82" customFormat="false" ht="16.4" hidden="false" customHeight="false" outlineLevel="0" collapsed="false">
      <c r="A82" s="29" t="s">
        <v>281</v>
      </c>
      <c r="B82" s="29" t="s">
        <v>201</v>
      </c>
      <c r="C82" s="13" t="str">
        <f aca="false">INDEX(矿物图鉴!$B$2:$B$104,MATCH($B82,矿物图鉴!$A$2:$A$104,0))</f>
        <v>化石</v>
      </c>
      <c r="D82" s="13" t="str">
        <f aca="false">INDEX(矿物图鉴!$C$2:$C$104,MATCH($B82,矿物图鉴!$A$2:$A$104,0))</f>
        <v>稀有</v>
      </c>
      <c r="E82" s="11" t="n">
        <f aca="false">INDEX(矿物图鉴!$E$2:$E$104,MATCH($B82,矿物图鉴!$A$2:$A$104,0))</f>
        <v>900</v>
      </c>
      <c r="F82" s="29" t="s">
        <v>271</v>
      </c>
      <c r="G82" s="30" t="n">
        <f aca="false">IF($F82="是",稀有度固定概率设置!$B$6,IFERROR(INDEX(稀有度固定概率设置!$B$2:$B$5,MATCH($D82,稀有度固定概率设置!$A$2:$A$5,0)),""))</f>
        <v>0.02</v>
      </c>
      <c r="H82" s="31" t="n">
        <f aca="false">IF($G82&lt;&gt;"",$G82,(1-SUMIF($A$2:$A$111,$A82,$G$2:$G$111))/COUNTIFS($A$2:$A$111,$A82,$D$2:$D$111,"普通",$F$2:$F$111,"否"))</f>
        <v>0.02</v>
      </c>
      <c r="I82" s="32" t="n">
        <f aca="false">H82*E82</f>
        <v>18</v>
      </c>
    </row>
    <row r="83" customFormat="false" ht="16.4" hidden="false" customHeight="false" outlineLevel="0" collapsed="false">
      <c r="A83" s="29" t="s">
        <v>281</v>
      </c>
      <c r="B83" s="29" t="s">
        <v>208</v>
      </c>
      <c r="C83" s="13" t="str">
        <f aca="false">INDEX(矿物图鉴!$B$2:$B$104,MATCH($B83,矿物图鉴!$A$2:$A$104,0))</f>
        <v>化石</v>
      </c>
      <c r="D83" s="13" t="str">
        <f aca="false">INDEX(矿物图鉴!$C$2:$C$104,MATCH($B83,矿物图鉴!$A$2:$A$104,0))</f>
        <v>史诗</v>
      </c>
      <c r="E83" s="11" t="n">
        <f aca="false">INDEX(矿物图鉴!$E$2:$E$104,MATCH($B83,矿物图鉴!$A$2:$A$104,0))</f>
        <v>2200</v>
      </c>
      <c r="F83" s="29" t="s">
        <v>271</v>
      </c>
      <c r="G83" s="30" t="n">
        <f aca="false">IF($F83="是",稀有度固定概率设置!$B$6,IFERROR(INDEX(稀有度固定概率设置!$B$2:$B$5,MATCH($D83,稀有度固定概率设置!$A$2:$A$5,0)),""))</f>
        <v>0.005</v>
      </c>
      <c r="H83" s="31" t="n">
        <f aca="false">IF($G83&lt;&gt;"",$G83,(1-SUMIF($A$2:$A$111,$A83,$G$2:$G$111))/COUNTIFS($A$2:$A$111,$A83,$D$2:$D$111,"普通",$F$2:$F$111,"否"))</f>
        <v>0.005</v>
      </c>
      <c r="I83" s="32" t="n">
        <f aca="false">H83*E83</f>
        <v>11</v>
      </c>
    </row>
    <row r="84" customFormat="false" ht="16.4" hidden="false" customHeight="false" outlineLevel="0" collapsed="false">
      <c r="A84" s="29" t="s">
        <v>281</v>
      </c>
      <c r="B84" s="29" t="s">
        <v>168</v>
      </c>
      <c r="C84" s="13" t="str">
        <f aca="false">INDEX(矿物图鉴!$B$2:$B$104,MATCH($B84,矿物图鉴!$A$2:$A$104,0))</f>
        <v>常见宝石矿物</v>
      </c>
      <c r="D84" s="13" t="str">
        <f aca="false">INDEX(矿物图鉴!$C$2:$C$104,MATCH($B84,矿物图鉴!$A$2:$A$104,0))</f>
        <v>少见</v>
      </c>
      <c r="E84" s="11" t="n">
        <f aca="false">INDEX(矿物图鉴!$E$2:$E$104,MATCH($B84,矿物图鉴!$A$2:$A$104,0))</f>
        <v>95</v>
      </c>
      <c r="F84" s="29" t="s">
        <v>271</v>
      </c>
      <c r="G84" s="30" t="n">
        <f aca="false">IF($F84="是",稀有度固定概率设置!$B$6,IFERROR(INDEX(稀有度固定概率设置!$B$2:$B$5,MATCH($D84,稀有度固定概率设置!$A$2:$A$5,0)),""))</f>
        <v>0.06</v>
      </c>
      <c r="H84" s="31" t="n">
        <f aca="false">IF($G84&lt;&gt;"",$G84,(1-SUMIF($A$2:$A$111,$A84,$G$2:$G$111))/COUNTIFS($A$2:$A$111,$A84,$D$2:$D$111,"普通",$F$2:$F$111,"否"))</f>
        <v>0.06</v>
      </c>
      <c r="I84" s="32" t="n">
        <f aca="false">H84*E84</f>
        <v>5.7</v>
      </c>
    </row>
    <row r="85" customFormat="false" ht="16.4" hidden="false" customHeight="false" outlineLevel="0" collapsed="false">
      <c r="A85" s="29" t="s">
        <v>281</v>
      </c>
      <c r="B85" s="29" t="s">
        <v>86</v>
      </c>
      <c r="C85" s="13" t="str">
        <f aca="false">INDEX(矿物图鉴!$B$2:$B$104,MATCH($B85,矿物图鉴!$A$2:$A$104,0))</f>
        <v>工业矿物</v>
      </c>
      <c r="D85" s="13" t="str">
        <f aca="false">INDEX(矿物图鉴!$C$2:$C$104,MATCH($B85,矿物图鉴!$A$2:$A$104,0))</f>
        <v>少见</v>
      </c>
      <c r="E85" s="11" t="n">
        <f aca="false">INDEX(矿物图鉴!$E$2:$E$104,MATCH($B85,矿物图鉴!$A$2:$A$104,0))</f>
        <v>18</v>
      </c>
      <c r="F85" s="29" t="s">
        <v>271</v>
      </c>
      <c r="G85" s="30" t="n">
        <f aca="false">IF($F85="是",稀有度固定概率设置!$B$6,IFERROR(INDEX(稀有度固定概率设置!$B$2:$B$5,MATCH($D85,稀有度固定概率设置!$A$2:$A$5,0)),""))</f>
        <v>0.06</v>
      </c>
      <c r="H85" s="31" t="n">
        <f aca="false">IF($G85&lt;&gt;"",$G85,(1-SUMIF($A$2:$A$111,$A85,$G$2:$G$111))/COUNTIFS($A$2:$A$111,$A85,$D$2:$D$111,"普通",$F$2:$F$111,"否"))</f>
        <v>0.06</v>
      </c>
      <c r="I85" s="32" t="n">
        <f aca="false">H85*E85</f>
        <v>1.08</v>
      </c>
    </row>
    <row r="86" customFormat="false" ht="16.4" hidden="false" customHeight="false" outlineLevel="0" collapsed="false">
      <c r="A86" s="29" t="s">
        <v>281</v>
      </c>
      <c r="B86" s="29" t="s">
        <v>166</v>
      </c>
      <c r="C86" s="13" t="str">
        <f aca="false">INDEX(矿物图鉴!$B$2:$B$104,MATCH($B86,矿物图鉴!$A$2:$A$104,0))</f>
        <v>常见宝石矿物</v>
      </c>
      <c r="D86" s="13" t="str">
        <f aca="false">INDEX(矿物图鉴!$C$2:$C$104,MATCH($B86,矿物图鉴!$A$2:$A$104,0))</f>
        <v>普通</v>
      </c>
      <c r="E86" s="11" t="n">
        <f aca="false">INDEX(矿物图鉴!$E$2:$E$104,MATCH($B86,矿物图鉴!$A$2:$A$104,0))</f>
        <v>25</v>
      </c>
      <c r="F86" s="29" t="s">
        <v>271</v>
      </c>
      <c r="G86" s="30" t="str">
        <f aca="false">IF($F86="是",稀有度固定概率设置!$B$6,IFERROR(INDEX(稀有度固定概率设置!$B$2:$B$5,MATCH($D86,稀有度固定概率设置!$A$2:$A$5,0)),""))</f>
        <v/>
      </c>
      <c r="H86" s="31" t="n">
        <f aca="false">IF($G86&lt;&gt;"",$G86,(1-SUMIF($A$2:$A$111,$A86,$G$2:$G$111))/COUNTIFS($A$2:$A$111,$A86,$D$2:$D$111,"普通",$F$2:$F$111,"否"))</f>
        <v>0.1345</v>
      </c>
      <c r="I86" s="32" t="n">
        <f aca="false">H86*E86</f>
        <v>3.3625</v>
      </c>
    </row>
    <row r="87" customFormat="false" ht="16.4" hidden="false" customHeight="false" outlineLevel="0" collapsed="false">
      <c r="A87" s="33" t="s">
        <v>282</v>
      </c>
      <c r="B87" s="34"/>
      <c r="C87" s="34"/>
      <c r="D87" s="34"/>
      <c r="E87" s="34"/>
      <c r="F87" s="34"/>
      <c r="G87" s="34"/>
      <c r="H87" s="35" t="n">
        <f aca="false">SUM(H76:H86)</f>
        <v>1</v>
      </c>
      <c r="I87" s="36" t="n">
        <f aca="false">SUM(I76:I86)</f>
        <v>76.584</v>
      </c>
    </row>
    <row r="88" customFormat="false" ht="16.4" hidden="false" customHeight="false" outlineLevel="0" collapsed="false">
      <c r="A88" s="21" t="s">
        <v>283</v>
      </c>
      <c r="B88" s="21" t="s">
        <v>106</v>
      </c>
      <c r="C88" s="21" t="str">
        <f aca="false">INDEX(矿物图鉴!$B$2:$B$104,MATCH($B88,矿物图鉴!$A$2:$A$104,0))</f>
        <v>工业矿物</v>
      </c>
      <c r="D88" s="21" t="str">
        <f aca="false">INDEX(矿物图鉴!$C$2:$C$104,MATCH($B88,矿物图鉴!$A$2:$A$104,0))</f>
        <v>普通</v>
      </c>
      <c r="E88" s="25" t="n">
        <f aca="false">INDEX(矿物图鉴!$E$2:$E$104,MATCH($B88,矿物图鉴!$A$2:$A$104,0))</f>
        <v>6</v>
      </c>
      <c r="F88" s="21" t="s">
        <v>270</v>
      </c>
      <c r="G88" s="26" t="n">
        <f aca="false">IF($F88="是",稀有度固定概率设置!$B$6,IFERROR(INDEX(稀有度固定概率设置!$B$2:$B$5,MATCH($D88,稀有度固定概率设置!$A$2:$A$5,0)),""))</f>
        <v>0.5</v>
      </c>
      <c r="H88" s="27" t="n">
        <f aca="false">IF($G88&lt;&gt;"",$G88,(1-SUMIF($A$2:$A$111,$A88,$G$2:$G$111))/COUNTIFS($A$2:$A$111,$A88,$D$2:$D$111,"普通",$F$2:$F$111,"否"))</f>
        <v>0.5</v>
      </c>
      <c r="I88" s="28" t="n">
        <f aca="false">H88*E88</f>
        <v>3</v>
      </c>
    </row>
    <row r="89" customFormat="false" ht="16.4" hidden="false" customHeight="false" outlineLevel="0" collapsed="false">
      <c r="A89" s="29" t="s">
        <v>283</v>
      </c>
      <c r="B89" s="29" t="s">
        <v>108</v>
      </c>
      <c r="C89" s="13" t="str">
        <f aca="false">INDEX(矿物图鉴!$B$2:$B$104,MATCH($B89,矿物图鉴!$A$2:$A$104,0))</f>
        <v>工业矿物</v>
      </c>
      <c r="D89" s="13" t="str">
        <f aca="false">INDEX(矿物图鉴!$C$2:$C$104,MATCH($B89,矿物图鉴!$A$2:$A$104,0))</f>
        <v>普通</v>
      </c>
      <c r="E89" s="11" t="n">
        <f aca="false">INDEX(矿物图鉴!$E$2:$E$104,MATCH($B89,矿物图鉴!$A$2:$A$104,0))</f>
        <v>12</v>
      </c>
      <c r="F89" s="29" t="s">
        <v>271</v>
      </c>
      <c r="G89" s="30" t="str">
        <f aca="false">IF($F89="是",稀有度固定概率设置!$B$6,IFERROR(INDEX(稀有度固定概率设置!$B$2:$B$5,MATCH($D89,稀有度固定概率设置!$A$2:$A$5,0)),""))</f>
        <v/>
      </c>
      <c r="H89" s="31" t="n">
        <f aca="false">IF($G89&lt;&gt;"",$G89,(1-SUMIF($A$2:$A$111,$A89,$G$2:$G$111))/COUNTIFS($A$2:$A$111,$A89,$D$2:$D$111,"普通",$F$2:$F$111,"否"))</f>
        <v>0.06875</v>
      </c>
      <c r="I89" s="32" t="n">
        <f aca="false">H89*E89</f>
        <v>0.825</v>
      </c>
    </row>
    <row r="90" customFormat="false" ht="16.4" hidden="false" customHeight="false" outlineLevel="0" collapsed="false">
      <c r="A90" s="29" t="s">
        <v>283</v>
      </c>
      <c r="B90" s="29" t="s">
        <v>185</v>
      </c>
      <c r="C90" s="13" t="str">
        <f aca="false">INDEX(矿物图鉴!$B$2:$B$104,MATCH($B90,矿物图鉴!$A$2:$A$104,0))</f>
        <v>常见宝石矿物</v>
      </c>
      <c r="D90" s="13" t="str">
        <f aca="false">INDEX(矿物图鉴!$C$2:$C$104,MATCH($B90,矿物图鉴!$A$2:$A$104,0))</f>
        <v>普通</v>
      </c>
      <c r="E90" s="11" t="n">
        <f aca="false">INDEX(矿物图鉴!$E$2:$E$104,MATCH($B90,矿物图鉴!$A$2:$A$104,0))</f>
        <v>35</v>
      </c>
      <c r="F90" s="29" t="s">
        <v>271</v>
      </c>
      <c r="G90" s="30" t="str">
        <f aca="false">IF($F90="是",稀有度固定概率设置!$B$6,IFERROR(INDEX(稀有度固定概率设置!$B$2:$B$5,MATCH($D90,稀有度固定概率设置!$A$2:$A$5,0)),""))</f>
        <v/>
      </c>
      <c r="H90" s="31" t="n">
        <f aca="false">IF($G90&lt;&gt;"",$G90,(1-SUMIF($A$2:$A$111,$A90,$G$2:$G$111))/COUNTIFS($A$2:$A$111,$A90,$D$2:$D$111,"普通",$F$2:$F$111,"否"))</f>
        <v>0.06875</v>
      </c>
      <c r="I90" s="32" t="n">
        <f aca="false">H90*E90</f>
        <v>2.40625</v>
      </c>
    </row>
    <row r="91" customFormat="false" ht="16.4" hidden="false" customHeight="false" outlineLevel="0" collapsed="false">
      <c r="A91" s="29" t="s">
        <v>283</v>
      </c>
      <c r="B91" s="29" t="s">
        <v>181</v>
      </c>
      <c r="C91" s="13" t="str">
        <f aca="false">INDEX(矿物图鉴!$B$2:$B$104,MATCH($B91,矿物图鉴!$A$2:$A$104,0))</f>
        <v>常见宝石矿物</v>
      </c>
      <c r="D91" s="13" t="str">
        <f aca="false">INDEX(矿物图鉴!$C$2:$C$104,MATCH($B91,矿物图鉴!$A$2:$A$104,0))</f>
        <v>少见</v>
      </c>
      <c r="E91" s="11" t="n">
        <f aca="false">INDEX(矿物图鉴!$E$2:$E$104,MATCH($B91,矿物图鉴!$A$2:$A$104,0))</f>
        <v>160</v>
      </c>
      <c r="F91" s="29" t="s">
        <v>271</v>
      </c>
      <c r="G91" s="30" t="n">
        <f aca="false">IF($F91="是",稀有度固定概率设置!$B$6,IFERROR(INDEX(稀有度固定概率设置!$B$2:$B$5,MATCH($D91,稀有度固定概率设置!$A$2:$A$5,0)),""))</f>
        <v>0.06</v>
      </c>
      <c r="H91" s="31" t="n">
        <f aca="false">IF($G91&lt;&gt;"",$G91,(1-SUMIF($A$2:$A$111,$A91,$G$2:$G$111))/COUNTIFS($A$2:$A$111,$A91,$D$2:$D$111,"普通",$F$2:$F$111,"否"))</f>
        <v>0.06</v>
      </c>
      <c r="I91" s="32" t="n">
        <f aca="false">H91*E91</f>
        <v>9.6</v>
      </c>
    </row>
    <row r="92" customFormat="false" ht="16.4" hidden="false" customHeight="false" outlineLevel="0" collapsed="false">
      <c r="A92" s="29" t="s">
        <v>283</v>
      </c>
      <c r="B92" s="29" t="s">
        <v>179</v>
      </c>
      <c r="C92" s="13" t="str">
        <f aca="false">INDEX(矿物图鉴!$B$2:$B$104,MATCH($B92,矿物图鉴!$A$2:$A$104,0))</f>
        <v>常见宝石矿物</v>
      </c>
      <c r="D92" s="13" t="str">
        <f aca="false">INDEX(矿物图鉴!$C$2:$C$104,MATCH($B92,矿物图鉴!$A$2:$A$104,0))</f>
        <v>稀有</v>
      </c>
      <c r="E92" s="11" t="n">
        <f aca="false">INDEX(矿物图鉴!$E$2:$E$104,MATCH($B92,矿物图鉴!$A$2:$A$104,0))</f>
        <v>320</v>
      </c>
      <c r="F92" s="29" t="s">
        <v>271</v>
      </c>
      <c r="G92" s="30" t="n">
        <f aca="false">IF($F92="是",稀有度固定概率设置!$B$6,IFERROR(INDEX(稀有度固定概率设置!$B$2:$B$5,MATCH($D92,稀有度固定概率设置!$A$2:$A$5,0)),""))</f>
        <v>0.02</v>
      </c>
      <c r="H92" s="31" t="n">
        <f aca="false">IF($G92&lt;&gt;"",$G92,(1-SUMIF($A$2:$A$111,$A92,$G$2:$G$111))/COUNTIFS($A$2:$A$111,$A92,$D$2:$D$111,"普通",$F$2:$F$111,"否"))</f>
        <v>0.02</v>
      </c>
      <c r="I92" s="32" t="n">
        <f aca="false">H92*E92</f>
        <v>6.4</v>
      </c>
    </row>
    <row r="93" customFormat="false" ht="16.4" hidden="false" customHeight="false" outlineLevel="0" collapsed="false">
      <c r="A93" s="29" t="s">
        <v>283</v>
      </c>
      <c r="B93" s="29" t="s">
        <v>202</v>
      </c>
      <c r="C93" s="13" t="str">
        <f aca="false">INDEX(矿物图鉴!$B$2:$B$104,MATCH($B93,矿物图鉴!$A$2:$A$104,0))</f>
        <v>化石</v>
      </c>
      <c r="D93" s="13" t="str">
        <f aca="false">INDEX(矿物图鉴!$C$2:$C$104,MATCH($B93,矿物图鉴!$A$2:$A$104,0))</f>
        <v>稀有</v>
      </c>
      <c r="E93" s="11" t="n">
        <f aca="false">INDEX(矿物图鉴!$E$2:$E$104,MATCH($B93,矿物图鉴!$A$2:$A$104,0))</f>
        <v>650</v>
      </c>
      <c r="F93" s="29" t="s">
        <v>271</v>
      </c>
      <c r="G93" s="30" t="n">
        <f aca="false">IF($F93="是",稀有度固定概率设置!$B$6,IFERROR(INDEX(稀有度固定概率设置!$B$2:$B$5,MATCH($D93,稀有度固定概率设置!$A$2:$A$5,0)),""))</f>
        <v>0.02</v>
      </c>
      <c r="H93" s="31" t="n">
        <f aca="false">IF($G93&lt;&gt;"",$G93,(1-SUMIF($A$2:$A$111,$A93,$G$2:$G$111))/COUNTIFS($A$2:$A$111,$A93,$D$2:$D$111,"普通",$F$2:$F$111,"否"))</f>
        <v>0.02</v>
      </c>
      <c r="I93" s="32" t="n">
        <f aca="false">H93*E93</f>
        <v>13</v>
      </c>
    </row>
    <row r="94" customFormat="false" ht="16.4" hidden="false" customHeight="false" outlineLevel="0" collapsed="false">
      <c r="A94" s="29" t="s">
        <v>283</v>
      </c>
      <c r="B94" s="29" t="s">
        <v>205</v>
      </c>
      <c r="C94" s="13" t="str">
        <f aca="false">INDEX(矿物图鉴!$B$2:$B$104,MATCH($B94,矿物图鉴!$A$2:$A$104,0))</f>
        <v>化石</v>
      </c>
      <c r="D94" s="13" t="str">
        <f aca="false">INDEX(矿物图鉴!$C$2:$C$104,MATCH($B94,矿物图鉴!$A$2:$A$104,0))</f>
        <v>普通</v>
      </c>
      <c r="E94" s="11" t="n">
        <f aca="false">INDEX(矿物图鉴!$E$2:$E$104,MATCH($B94,矿物图鉴!$A$2:$A$104,0))</f>
        <v>60</v>
      </c>
      <c r="F94" s="29" t="s">
        <v>271</v>
      </c>
      <c r="G94" s="30" t="str">
        <f aca="false">IF($F94="是",稀有度固定概率设置!$B$6,IFERROR(INDEX(稀有度固定概率设置!$B$2:$B$5,MATCH($D94,稀有度固定概率设置!$A$2:$A$5,0)),""))</f>
        <v/>
      </c>
      <c r="H94" s="31" t="n">
        <f aca="false">IF($G94&lt;&gt;"",$G94,(1-SUMIF($A$2:$A$111,$A94,$G$2:$G$111))/COUNTIFS($A$2:$A$111,$A94,$D$2:$D$111,"普通",$F$2:$F$111,"否"))</f>
        <v>0.06875</v>
      </c>
      <c r="I94" s="32" t="n">
        <f aca="false">H94*E94</f>
        <v>4.125</v>
      </c>
    </row>
    <row r="95" customFormat="false" ht="16.4" hidden="false" customHeight="false" outlineLevel="0" collapsed="false">
      <c r="A95" s="29" t="s">
        <v>283</v>
      </c>
      <c r="B95" s="29" t="s">
        <v>206</v>
      </c>
      <c r="C95" s="13" t="str">
        <f aca="false">INDEX(矿物图鉴!$B$2:$B$104,MATCH($B95,矿物图鉴!$A$2:$A$104,0))</f>
        <v>化石</v>
      </c>
      <c r="D95" s="13" t="str">
        <f aca="false">INDEX(矿物图鉴!$C$2:$C$104,MATCH($B95,矿物图鉴!$A$2:$A$104,0))</f>
        <v>普通</v>
      </c>
      <c r="E95" s="11" t="n">
        <f aca="false">INDEX(矿物图鉴!$E$2:$E$104,MATCH($B95,矿物图鉴!$A$2:$A$104,0))</f>
        <v>40</v>
      </c>
      <c r="F95" s="29" t="s">
        <v>271</v>
      </c>
      <c r="G95" s="30" t="str">
        <f aca="false">IF($F95="是",稀有度固定概率设置!$B$6,IFERROR(INDEX(稀有度固定概率设置!$B$2:$B$5,MATCH($D95,稀有度固定概率设置!$A$2:$A$5,0)),""))</f>
        <v/>
      </c>
      <c r="H95" s="31" t="n">
        <f aca="false">IF($G95&lt;&gt;"",$G95,(1-SUMIF($A$2:$A$111,$A95,$G$2:$G$111))/COUNTIFS($A$2:$A$111,$A95,$D$2:$D$111,"普通",$F$2:$F$111,"否"))</f>
        <v>0.06875</v>
      </c>
      <c r="I95" s="32" t="n">
        <f aca="false">H95*E95</f>
        <v>2.75</v>
      </c>
    </row>
    <row r="96" customFormat="false" ht="16.4" hidden="false" customHeight="false" outlineLevel="0" collapsed="false">
      <c r="A96" s="29" t="s">
        <v>283</v>
      </c>
      <c r="B96" s="29" t="s">
        <v>211</v>
      </c>
      <c r="C96" s="13" t="str">
        <f aca="false">INDEX(矿物图鉴!$B$2:$B$104,MATCH($B96,矿物图鉴!$A$2:$A$104,0))</f>
        <v>化石</v>
      </c>
      <c r="D96" s="13" t="str">
        <f aca="false">INDEX(矿物图鉴!$C$2:$C$104,MATCH($B96,矿物图鉴!$A$2:$A$104,0))</f>
        <v>少见</v>
      </c>
      <c r="E96" s="11" t="n">
        <f aca="false">INDEX(矿物图鉴!$E$2:$E$104,MATCH($B96,矿物图鉴!$A$2:$A$104,0))</f>
        <v>220</v>
      </c>
      <c r="F96" s="29" t="s">
        <v>271</v>
      </c>
      <c r="G96" s="30" t="n">
        <f aca="false">IF($F96="是",稀有度固定概率设置!$B$6,IFERROR(INDEX(稀有度固定概率设置!$B$2:$B$5,MATCH($D96,稀有度固定概率设置!$A$2:$A$5,0)),""))</f>
        <v>0.06</v>
      </c>
      <c r="H96" s="31" t="n">
        <f aca="false">IF($G96&lt;&gt;"",$G96,(1-SUMIF($A$2:$A$111,$A96,$G$2:$G$111))/COUNTIFS($A$2:$A$111,$A96,$D$2:$D$111,"普通",$F$2:$F$111,"否"))</f>
        <v>0.06</v>
      </c>
      <c r="I96" s="32" t="n">
        <f aca="false">H96*E96</f>
        <v>13.2</v>
      </c>
    </row>
    <row r="97" customFormat="false" ht="16.4" hidden="false" customHeight="false" outlineLevel="0" collapsed="false">
      <c r="A97" s="29" t="s">
        <v>283</v>
      </c>
      <c r="B97" s="29" t="s">
        <v>243</v>
      </c>
      <c r="C97" s="13" t="str">
        <f aca="false">INDEX(矿物图鉴!$B$2:$B$104,MATCH($B97,矿物图鉴!$A$2:$A$104,0))</f>
        <v>珍稀晶体矿物</v>
      </c>
      <c r="D97" s="13" t="str">
        <f aca="false">INDEX(矿物图鉴!$C$2:$C$104,MATCH($B97,矿物图鉴!$A$2:$A$104,0))</f>
        <v>少见</v>
      </c>
      <c r="E97" s="11" t="n">
        <f aca="false">INDEX(矿物图鉴!$E$2:$E$104,MATCH($B97,矿物图鉴!$A$2:$A$104,0))</f>
        <v>280</v>
      </c>
      <c r="F97" s="29" t="s">
        <v>271</v>
      </c>
      <c r="G97" s="30" t="n">
        <f aca="false">IF($F97="是",稀有度固定概率设置!$B$6,IFERROR(INDEX(稀有度固定概率设置!$B$2:$B$5,MATCH($D97,稀有度固定概率设置!$A$2:$A$5,0)),""))</f>
        <v>0.06</v>
      </c>
      <c r="H97" s="31" t="n">
        <f aca="false">IF($G97&lt;&gt;"",$G97,(1-SUMIF($A$2:$A$111,$A97,$G$2:$G$111))/COUNTIFS($A$2:$A$111,$A97,$D$2:$D$111,"普通",$F$2:$F$111,"否"))</f>
        <v>0.06</v>
      </c>
      <c r="I97" s="32" t="n">
        <f aca="false">H97*E97</f>
        <v>16.8</v>
      </c>
    </row>
    <row r="98" customFormat="false" ht="16.4" hidden="false" customHeight="false" outlineLevel="0" collapsed="false">
      <c r="A98" s="29" t="s">
        <v>283</v>
      </c>
      <c r="B98" s="29" t="s">
        <v>131</v>
      </c>
      <c r="C98" s="13" t="str">
        <f aca="false">INDEX(矿物图鉴!$B$2:$B$104,MATCH($B98,矿物图鉴!$A$2:$A$104,0))</f>
        <v>常见宝石矿物</v>
      </c>
      <c r="D98" s="13" t="str">
        <f aca="false">INDEX(矿物图鉴!$C$2:$C$104,MATCH($B98,矿物图鉴!$A$2:$A$104,0))</f>
        <v>史诗</v>
      </c>
      <c r="E98" s="11" t="n">
        <f aca="false">INDEX(矿物图鉴!$E$2:$E$104,MATCH($B98,矿物图鉴!$A$2:$A$104,0))</f>
        <v>1500</v>
      </c>
      <c r="F98" s="29" t="s">
        <v>271</v>
      </c>
      <c r="G98" s="30" t="n">
        <f aca="false">IF($F98="是",稀有度固定概率设置!$B$6,IFERROR(INDEX(稀有度固定概率设置!$B$2:$B$5,MATCH($D98,稀有度固定概率设置!$A$2:$A$5,0)),""))</f>
        <v>0.005</v>
      </c>
      <c r="H98" s="31" t="n">
        <f aca="false">IF($G98&lt;&gt;"",$G98,(1-SUMIF($A$2:$A$111,$A98,$G$2:$G$111))/COUNTIFS($A$2:$A$111,$A98,$D$2:$D$111,"普通",$F$2:$F$111,"否"))</f>
        <v>0.005</v>
      </c>
      <c r="I98" s="32" t="n">
        <f aca="false">H98*E98</f>
        <v>7.5</v>
      </c>
    </row>
    <row r="99" customFormat="false" ht="16.4" hidden="false" customHeight="false" outlineLevel="0" collapsed="false">
      <c r="A99" s="33" t="s">
        <v>284</v>
      </c>
      <c r="B99" s="34"/>
      <c r="C99" s="34"/>
      <c r="D99" s="34"/>
      <c r="E99" s="34"/>
      <c r="F99" s="34"/>
      <c r="G99" s="34"/>
      <c r="H99" s="35" t="n">
        <f aca="false">SUM(H88:H98)</f>
        <v>1</v>
      </c>
      <c r="I99" s="36" t="n">
        <f aca="false">SUM(I88:I98)</f>
        <v>79.60625</v>
      </c>
    </row>
    <row r="100" customFormat="false" ht="16.4" hidden="false" customHeight="false" outlineLevel="0" collapsed="false">
      <c r="A100" s="21" t="s">
        <v>285</v>
      </c>
      <c r="B100" s="21" t="s">
        <v>79</v>
      </c>
      <c r="C100" s="21" t="str">
        <f aca="false">INDEX(矿物图鉴!$B$2:$B$104,MATCH($B100,矿物图鉴!$A$2:$A$104,0))</f>
        <v>工业矿物</v>
      </c>
      <c r="D100" s="21" t="str">
        <f aca="false">INDEX(矿物图鉴!$C$2:$C$104,MATCH($B100,矿物图鉴!$A$2:$A$104,0))</f>
        <v>普通</v>
      </c>
      <c r="E100" s="25" t="n">
        <f aca="false">INDEX(矿物图鉴!$E$2:$E$104,MATCH($B100,矿物图鉴!$A$2:$A$104,0))</f>
        <v>18</v>
      </c>
      <c r="F100" s="21" t="s">
        <v>270</v>
      </c>
      <c r="G100" s="26" t="n">
        <f aca="false">IF($F100="是",稀有度固定概率设置!$B$6,IFERROR(INDEX(稀有度固定概率设置!$B$2:$B$5,MATCH($D100,稀有度固定概率设置!$A$2:$A$5,0)),""))</f>
        <v>0.5</v>
      </c>
      <c r="H100" s="27" t="n">
        <f aca="false">IF($G100&lt;&gt;"",$G100,(1-SUMIF($A$2:$A$111,$A100,$G$2:$G$111))/COUNTIFS($A$2:$A$111,$A100,$D$2:$D$111,"普通",$F$2:$F$111,"否"))</f>
        <v>0.5</v>
      </c>
      <c r="I100" s="28" t="n">
        <f aca="false">H100*E100</f>
        <v>9</v>
      </c>
    </row>
    <row r="101" customFormat="false" ht="16.4" hidden="false" customHeight="false" outlineLevel="0" collapsed="false">
      <c r="A101" s="29" t="s">
        <v>285</v>
      </c>
      <c r="B101" s="29" t="s">
        <v>210</v>
      </c>
      <c r="C101" s="13" t="str">
        <f aca="false">INDEX(矿物图鉴!$B$2:$B$104,MATCH($B101,矿物图鉴!$A$2:$A$104,0))</f>
        <v>化石</v>
      </c>
      <c r="D101" s="13" t="str">
        <f aca="false">INDEX(矿物图鉴!$C$2:$C$104,MATCH($B101,矿物图鉴!$A$2:$A$104,0))</f>
        <v>普通</v>
      </c>
      <c r="E101" s="11" t="n">
        <f aca="false">INDEX(矿物图鉴!$E$2:$E$104,MATCH($B101,矿物图鉴!$A$2:$A$104,0))</f>
        <v>55</v>
      </c>
      <c r="F101" s="29" t="s">
        <v>271</v>
      </c>
      <c r="G101" s="30" t="str">
        <f aca="false">IF($F101="是",稀有度固定概率设置!$B$6,IFERROR(INDEX(稀有度固定概率设置!$B$2:$B$5,MATCH($D101,稀有度固定概率设置!$A$2:$A$5,0)),""))</f>
        <v/>
      </c>
      <c r="H101" s="31" t="n">
        <f aca="false">IF($G101&lt;&gt;"",$G101,(1-SUMIF($A$2:$A$111,$A101,$G$2:$G$111))/COUNTIFS($A$2:$A$111,$A101,$D$2:$D$111,"普通",$F$2:$F$111,"否"))</f>
        <v>0.111666666666667</v>
      </c>
      <c r="I101" s="32" t="n">
        <f aca="false">H101*E101</f>
        <v>6.14166666666667</v>
      </c>
    </row>
    <row r="102" customFormat="false" ht="16.4" hidden="false" customHeight="false" outlineLevel="0" collapsed="false">
      <c r="A102" s="29" t="s">
        <v>285</v>
      </c>
      <c r="B102" s="29" t="s">
        <v>206</v>
      </c>
      <c r="C102" s="13" t="str">
        <f aca="false">INDEX(矿物图鉴!$B$2:$B$104,MATCH($B102,矿物图鉴!$A$2:$A$104,0))</f>
        <v>化石</v>
      </c>
      <c r="D102" s="13" t="str">
        <f aca="false">INDEX(矿物图鉴!$C$2:$C$104,MATCH($B102,矿物图鉴!$A$2:$A$104,0))</f>
        <v>普通</v>
      </c>
      <c r="E102" s="11" t="n">
        <f aca="false">INDEX(矿物图鉴!$E$2:$E$104,MATCH($B102,矿物图鉴!$A$2:$A$104,0))</f>
        <v>40</v>
      </c>
      <c r="F102" s="29" t="s">
        <v>271</v>
      </c>
      <c r="G102" s="30" t="str">
        <f aca="false">IF($F102="是",稀有度固定概率设置!$B$6,IFERROR(INDEX(稀有度固定概率设置!$B$2:$B$5,MATCH($D102,稀有度固定概率设置!$A$2:$A$5,0)),""))</f>
        <v/>
      </c>
      <c r="H102" s="31" t="n">
        <f aca="false">IF($G102&lt;&gt;"",$G102,(1-SUMIF($A$2:$A$111,$A102,$G$2:$G$111))/COUNTIFS($A$2:$A$111,$A102,$D$2:$D$111,"普通",$F$2:$F$111,"否"))</f>
        <v>0.111666666666667</v>
      </c>
      <c r="I102" s="32" t="n">
        <f aca="false">H102*E102</f>
        <v>4.46666666666667</v>
      </c>
    </row>
    <row r="103" customFormat="false" ht="16.4" hidden="false" customHeight="false" outlineLevel="0" collapsed="false">
      <c r="A103" s="29" t="s">
        <v>285</v>
      </c>
      <c r="B103" s="29" t="s">
        <v>149</v>
      </c>
      <c r="C103" s="13" t="str">
        <f aca="false">INDEX(矿物图鉴!$B$2:$B$104,MATCH($B103,矿物图鉴!$A$2:$A$104,0))</f>
        <v>常见宝石矿物</v>
      </c>
      <c r="D103" s="13" t="str">
        <f aca="false">INDEX(矿物图鉴!$C$2:$C$104,MATCH($B103,矿物图鉴!$A$2:$A$104,0))</f>
        <v>稀有</v>
      </c>
      <c r="E103" s="11" t="n">
        <f aca="false">INDEX(矿物图鉴!$E$2:$E$104,MATCH($B103,矿物图鉴!$A$2:$A$104,0))</f>
        <v>350</v>
      </c>
      <c r="F103" s="29" t="s">
        <v>271</v>
      </c>
      <c r="G103" s="30" t="n">
        <f aca="false">IF($F103="是",稀有度固定概率设置!$B$6,IFERROR(INDEX(稀有度固定概率设置!$B$2:$B$5,MATCH($D103,稀有度固定概率设置!$A$2:$A$5,0)),""))</f>
        <v>0.02</v>
      </c>
      <c r="H103" s="31" t="n">
        <f aca="false">IF($G103&lt;&gt;"",$G103,(1-SUMIF($A$2:$A$111,$A103,$G$2:$G$111))/COUNTIFS($A$2:$A$111,$A103,$D$2:$D$111,"普通",$F$2:$F$111,"否"))</f>
        <v>0.02</v>
      </c>
      <c r="I103" s="32" t="n">
        <f aca="false">H103*E103</f>
        <v>7</v>
      </c>
    </row>
    <row r="104" customFormat="false" ht="16.4" hidden="false" customHeight="false" outlineLevel="0" collapsed="false">
      <c r="A104" s="29" t="s">
        <v>285</v>
      </c>
      <c r="B104" s="29" t="s">
        <v>151</v>
      </c>
      <c r="C104" s="13" t="str">
        <f aca="false">INDEX(矿物图鉴!$B$2:$B$104,MATCH($B104,矿物图鉴!$A$2:$A$104,0))</f>
        <v>常见宝石矿物</v>
      </c>
      <c r="D104" s="13" t="str">
        <f aca="false">INDEX(矿物图鉴!$C$2:$C$104,MATCH($B104,矿物图鉴!$A$2:$A$104,0))</f>
        <v>稀有</v>
      </c>
      <c r="E104" s="11" t="n">
        <f aca="false">INDEX(矿物图鉴!$E$2:$E$104,MATCH($B104,矿物图鉴!$A$2:$A$104,0))</f>
        <v>380</v>
      </c>
      <c r="F104" s="29" t="s">
        <v>271</v>
      </c>
      <c r="G104" s="30" t="n">
        <f aca="false">IF($F104="是",稀有度固定概率设置!$B$6,IFERROR(INDEX(稀有度固定概率设置!$B$2:$B$5,MATCH($D104,稀有度固定概率设置!$A$2:$A$5,0)),""))</f>
        <v>0.02</v>
      </c>
      <c r="H104" s="31" t="n">
        <f aca="false">IF($G104&lt;&gt;"",$G104,(1-SUMIF($A$2:$A$111,$A104,$G$2:$G$111))/COUNTIFS($A$2:$A$111,$A104,$D$2:$D$111,"普通",$F$2:$F$111,"否"))</f>
        <v>0.02</v>
      </c>
      <c r="I104" s="32" t="n">
        <f aca="false">H104*E104</f>
        <v>7.6</v>
      </c>
    </row>
    <row r="105" customFormat="false" ht="16.4" hidden="false" customHeight="false" outlineLevel="0" collapsed="false">
      <c r="A105" s="29" t="s">
        <v>285</v>
      </c>
      <c r="B105" s="29" t="s">
        <v>234</v>
      </c>
      <c r="C105" s="13" t="str">
        <f aca="false">INDEX(矿物图鉴!$B$2:$B$104,MATCH($B105,矿物图鉴!$A$2:$A$104,0))</f>
        <v>珍稀晶体矿物</v>
      </c>
      <c r="D105" s="13" t="str">
        <f aca="false">INDEX(矿物图鉴!$C$2:$C$104,MATCH($B105,矿物图鉴!$A$2:$A$104,0))</f>
        <v>稀有</v>
      </c>
      <c r="E105" s="11" t="n">
        <f aca="false">INDEX(矿物图鉴!$E$2:$E$104,MATCH($B105,矿物图鉴!$A$2:$A$104,0))</f>
        <v>450</v>
      </c>
      <c r="F105" s="29" t="s">
        <v>271</v>
      </c>
      <c r="G105" s="30" t="n">
        <f aca="false">IF($F105="是",稀有度固定概率设置!$B$6,IFERROR(INDEX(稀有度固定概率设置!$B$2:$B$5,MATCH($D105,稀有度固定概率设置!$A$2:$A$5,0)),""))</f>
        <v>0.02</v>
      </c>
      <c r="H105" s="31" t="n">
        <f aca="false">IF($G105&lt;&gt;"",$G105,(1-SUMIF($A$2:$A$111,$A105,$G$2:$G$111))/COUNTIFS($A$2:$A$111,$A105,$D$2:$D$111,"普通",$F$2:$F$111,"否"))</f>
        <v>0.02</v>
      </c>
      <c r="I105" s="32" t="n">
        <f aca="false">H105*E105</f>
        <v>9</v>
      </c>
    </row>
    <row r="106" customFormat="false" ht="16.4" hidden="false" customHeight="false" outlineLevel="0" collapsed="false">
      <c r="A106" s="29" t="s">
        <v>285</v>
      </c>
      <c r="B106" s="29" t="s">
        <v>236</v>
      </c>
      <c r="C106" s="13" t="str">
        <f aca="false">INDEX(矿物图鉴!$B$2:$B$104,MATCH($B106,矿物图鉴!$A$2:$A$104,0))</f>
        <v>珍稀晶体矿物</v>
      </c>
      <c r="D106" s="13" t="str">
        <f aca="false">INDEX(矿物图鉴!$C$2:$C$104,MATCH($B106,矿物图鉴!$A$2:$A$104,0))</f>
        <v>史诗</v>
      </c>
      <c r="E106" s="11" t="n">
        <f aca="false">INDEX(矿物图鉴!$E$2:$E$104,MATCH($B106,矿物图鉴!$A$2:$A$104,0))</f>
        <v>1600</v>
      </c>
      <c r="F106" s="29" t="s">
        <v>271</v>
      </c>
      <c r="G106" s="30" t="n">
        <f aca="false">IF($F106="是",稀有度固定概率设置!$B$6,IFERROR(INDEX(稀有度固定概率设置!$B$2:$B$5,MATCH($D106,稀有度固定概率设置!$A$2:$A$5,0)),""))</f>
        <v>0.005</v>
      </c>
      <c r="H106" s="31" t="n">
        <f aca="false">IF($G106&lt;&gt;"",$G106,(1-SUMIF($A$2:$A$111,$A106,$G$2:$G$111))/COUNTIFS($A$2:$A$111,$A106,$D$2:$D$111,"普通",$F$2:$F$111,"否"))</f>
        <v>0.005</v>
      </c>
      <c r="I106" s="32" t="n">
        <f aca="false">H106*E106</f>
        <v>8</v>
      </c>
    </row>
    <row r="107" customFormat="false" ht="16.4" hidden="false" customHeight="false" outlineLevel="0" collapsed="false">
      <c r="A107" s="29" t="s">
        <v>285</v>
      </c>
      <c r="B107" s="29" t="s">
        <v>238</v>
      </c>
      <c r="C107" s="13" t="str">
        <f aca="false">INDEX(矿物图鉴!$B$2:$B$104,MATCH($B107,矿物图鉴!$A$2:$A$104,0))</f>
        <v>珍稀晶体矿物</v>
      </c>
      <c r="D107" s="13" t="str">
        <f aca="false">INDEX(矿物图鉴!$C$2:$C$104,MATCH($B107,矿物图鉴!$A$2:$A$104,0))</f>
        <v>稀有</v>
      </c>
      <c r="E107" s="11" t="n">
        <f aca="false">INDEX(矿物图鉴!$E$2:$E$104,MATCH($B107,矿物图鉴!$A$2:$A$104,0))</f>
        <v>500</v>
      </c>
      <c r="F107" s="29" t="s">
        <v>271</v>
      </c>
      <c r="G107" s="30" t="n">
        <f aca="false">IF($F107="是",稀有度固定概率设置!$B$6,IFERROR(INDEX(稀有度固定概率设置!$B$2:$B$5,MATCH($D107,稀有度固定概率设置!$A$2:$A$5,0)),""))</f>
        <v>0.02</v>
      </c>
      <c r="H107" s="31" t="n">
        <f aca="false">IF($G107&lt;&gt;"",$G107,(1-SUMIF($A$2:$A$111,$A107,$G$2:$G$111))/COUNTIFS($A$2:$A$111,$A107,$D$2:$D$111,"普通",$F$2:$F$111,"否"))</f>
        <v>0.02</v>
      </c>
      <c r="I107" s="32" t="n">
        <f aca="false">H107*E107</f>
        <v>10</v>
      </c>
    </row>
    <row r="108" customFormat="false" ht="16.4" hidden="false" customHeight="false" outlineLevel="0" collapsed="false">
      <c r="A108" s="29" t="s">
        <v>285</v>
      </c>
      <c r="B108" s="29" t="s">
        <v>190</v>
      </c>
      <c r="C108" s="13" t="str">
        <f aca="false">INDEX(矿物图鉴!$B$2:$B$104,MATCH($B108,矿物图鉴!$A$2:$A$104,0))</f>
        <v>常见宝石矿物</v>
      </c>
      <c r="D108" s="13" t="str">
        <f aca="false">INDEX(矿物图鉴!$C$2:$C$104,MATCH($B108,矿物图鉴!$A$2:$A$104,0))</f>
        <v>少见</v>
      </c>
      <c r="E108" s="11" t="n">
        <f aca="false">INDEX(矿物图鉴!$E$2:$E$104,MATCH($B108,矿物图鉴!$A$2:$A$104,0))</f>
        <v>110</v>
      </c>
      <c r="F108" s="29" t="s">
        <v>271</v>
      </c>
      <c r="G108" s="30" t="n">
        <f aca="false">IF($F108="是",稀有度固定概率设置!$B$6,IFERROR(INDEX(稀有度固定概率设置!$B$2:$B$5,MATCH($D108,稀有度固定概率设置!$A$2:$A$5,0)),""))</f>
        <v>0.06</v>
      </c>
      <c r="H108" s="31" t="n">
        <f aca="false">IF($G108&lt;&gt;"",$G108,(1-SUMIF($A$2:$A$111,$A108,$G$2:$G$111))/COUNTIFS($A$2:$A$111,$A108,$D$2:$D$111,"普通",$F$2:$F$111,"否"))</f>
        <v>0.06</v>
      </c>
      <c r="I108" s="32" t="n">
        <f aca="false">H108*E108</f>
        <v>6.6</v>
      </c>
    </row>
    <row r="109" customFormat="false" ht="16.4" hidden="false" customHeight="false" outlineLevel="0" collapsed="false">
      <c r="A109" s="29" t="s">
        <v>285</v>
      </c>
      <c r="B109" s="29" t="s">
        <v>170</v>
      </c>
      <c r="C109" s="13" t="str">
        <f aca="false">INDEX(矿物图鉴!$B$2:$B$104,MATCH($B109,矿物图鉴!$A$2:$A$104,0))</f>
        <v>常见宝石矿物</v>
      </c>
      <c r="D109" s="13" t="str">
        <f aca="false">INDEX(矿物图鉴!$C$2:$C$104,MATCH($B109,矿物图鉴!$A$2:$A$104,0))</f>
        <v>稀有</v>
      </c>
      <c r="E109" s="11" t="n">
        <f aca="false">INDEX(矿物图鉴!$E$2:$E$104,MATCH($B109,矿物图鉴!$A$2:$A$104,0))</f>
        <v>500</v>
      </c>
      <c r="F109" s="29" t="s">
        <v>271</v>
      </c>
      <c r="G109" s="30" t="n">
        <f aca="false">IF($F109="是",稀有度固定概率设置!$B$6,IFERROR(INDEX(稀有度固定概率设置!$B$2:$B$5,MATCH($D109,稀有度固定概率设置!$A$2:$A$5,0)),""))</f>
        <v>0.02</v>
      </c>
      <c r="H109" s="31" t="n">
        <f aca="false">IF($G109&lt;&gt;"",$G109,(1-SUMIF($A$2:$A$111,$A109,$G$2:$G$111))/COUNTIFS($A$2:$A$111,$A109,$D$2:$D$111,"普通",$F$2:$F$111,"否"))</f>
        <v>0.02</v>
      </c>
      <c r="I109" s="32" t="n">
        <f aca="false">H109*E109</f>
        <v>10</v>
      </c>
    </row>
    <row r="110" customFormat="false" ht="16.4" hidden="false" customHeight="false" outlineLevel="0" collapsed="false">
      <c r="A110" s="29" t="s">
        <v>285</v>
      </c>
      <c r="B110" s="29" t="s">
        <v>204</v>
      </c>
      <c r="C110" s="13" t="str">
        <f aca="false">INDEX(矿物图鉴!$B$2:$B$104,MATCH($B110,矿物图鉴!$A$2:$A$104,0))</f>
        <v>化石</v>
      </c>
      <c r="D110" s="13" t="str">
        <f aca="false">INDEX(矿物图鉴!$C$2:$C$104,MATCH($B110,矿物图鉴!$A$2:$A$104,0))</f>
        <v>普通</v>
      </c>
      <c r="E110" s="11" t="n">
        <f aca="false">INDEX(矿物图鉴!$E$2:$E$104,MATCH($B110,矿物图鉴!$A$2:$A$104,0))</f>
        <v>90</v>
      </c>
      <c r="F110" s="29" t="s">
        <v>271</v>
      </c>
      <c r="G110" s="30" t="str">
        <f aca="false">IF($F110="是",稀有度固定概率设置!$B$6,IFERROR(INDEX(稀有度固定概率设置!$B$2:$B$5,MATCH($D110,稀有度固定概率设置!$A$2:$A$5,0)),""))</f>
        <v/>
      </c>
      <c r="H110" s="31" t="n">
        <f aca="false">IF($G110&lt;&gt;"",$G110,(1-SUMIF($A$2:$A$111,$A110,$G$2:$G$111))/COUNTIFS($A$2:$A$111,$A110,$D$2:$D$111,"普通",$F$2:$F$111,"否"))</f>
        <v>0.111666666666667</v>
      </c>
      <c r="I110" s="32" t="n">
        <f aca="false">H110*E110</f>
        <v>10.05</v>
      </c>
    </row>
    <row r="111" customFormat="false" ht="16.4" hidden="false" customHeight="false" outlineLevel="0" collapsed="false">
      <c r="A111" s="33" t="s">
        <v>286</v>
      </c>
      <c r="B111" s="34"/>
      <c r="C111" s="34"/>
      <c r="D111" s="34"/>
      <c r="E111" s="34"/>
      <c r="F111" s="34"/>
      <c r="G111" s="34"/>
      <c r="H111" s="35" t="n">
        <f aca="false">SUM(H100:H110)</f>
        <v>1</v>
      </c>
      <c r="I111" s="36" t="n">
        <f aca="false">SUM(I100:I110)</f>
        <v>87.8583333333333</v>
      </c>
    </row>
  </sheetData>
  <autoFilter ref="A1:I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37" t="s">
        <v>264</v>
      </c>
      <c r="B1" s="37" t="s">
        <v>287</v>
      </c>
      <c r="C1" s="37" t="s">
        <v>260</v>
      </c>
      <c r="D1" s="37" t="s">
        <v>288</v>
      </c>
      <c r="E1" s="37" t="s">
        <v>289</v>
      </c>
      <c r="F1" s="37" t="s">
        <v>290</v>
      </c>
      <c r="G1" s="37" t="s">
        <v>291</v>
      </c>
      <c r="H1" s="37" t="s">
        <v>292</v>
      </c>
    </row>
    <row r="2" customFormat="false" ht="16.4" hidden="false" customHeight="false" outlineLevel="0" collapsed="false">
      <c r="A2" s="7" t="s">
        <v>269</v>
      </c>
      <c r="B2" s="32" t="n">
        <f aca="false">SUMIF(地形刷新表!$A$2:$A$111,A2,地形刷新表!$I$2:$I$111)</f>
        <v>29.212</v>
      </c>
      <c r="C2" s="38" t="n">
        <f aca="false">稀有度固定概率设置!$B$8</f>
        <v>12</v>
      </c>
      <c r="D2" s="32" t="n">
        <f aca="false">B2*C2</f>
        <v>350.544</v>
      </c>
      <c r="E2" s="11" t="n">
        <f aca="false">IF($H2="是",0,ROUND(D2*稀有度固定概率设置!$B$9,-1))</f>
        <v>0</v>
      </c>
      <c r="F2" s="32" t="n">
        <f aca="false">D2-E2</f>
        <v>350.544</v>
      </c>
      <c r="G2" s="39" t="str">
        <f aca="false">IF(E2=0,"—",F2/E2)</f>
        <v>—</v>
      </c>
      <c r="H2" s="19" t="s">
        <v>270</v>
      </c>
    </row>
    <row r="3" customFormat="false" ht="16.4" hidden="false" customHeight="false" outlineLevel="0" collapsed="false">
      <c r="A3" s="7" t="s">
        <v>273</v>
      </c>
      <c r="B3" s="32" t="n">
        <f aca="false">SUMIF(地形刷新表!$A$2:$A$111,A3,地形刷新表!$I$2:$I$111)</f>
        <v>76.098</v>
      </c>
      <c r="C3" s="38" t="n">
        <f aca="false">稀有度固定概率设置!$B$8</f>
        <v>12</v>
      </c>
      <c r="D3" s="32" t="n">
        <f aca="false">B3*C3</f>
        <v>913.176</v>
      </c>
      <c r="E3" s="11" t="n">
        <f aca="false">IF($H3="是",0,ROUND(D3*稀有度固定概率设置!$B$9,-1))</f>
        <v>780</v>
      </c>
      <c r="F3" s="32" t="n">
        <f aca="false">D3-E3</f>
        <v>133.176</v>
      </c>
      <c r="G3" s="39" t="n">
        <f aca="false">IF(E3=0,"—",F3/E3)</f>
        <v>0.170738461538461</v>
      </c>
      <c r="H3" s="19" t="s">
        <v>271</v>
      </c>
    </row>
    <row r="4" customFormat="false" ht="16.4" hidden="false" customHeight="false" outlineLevel="0" collapsed="false">
      <c r="A4" s="7" t="s">
        <v>275</v>
      </c>
      <c r="B4" s="32" t="n">
        <f aca="false">SUMIF(地形刷新表!$A$2:$A$111,A4,地形刷新表!$I$2:$I$111)</f>
        <v>119.215</v>
      </c>
      <c r="C4" s="38" t="n">
        <f aca="false">稀有度固定概率设置!$B$8</f>
        <v>12</v>
      </c>
      <c r="D4" s="32" t="n">
        <f aca="false">B4*C4</f>
        <v>1430.58</v>
      </c>
      <c r="E4" s="11" t="n">
        <f aca="false">IF($H4="是",0,ROUND(D4*稀有度固定概率设置!$B$9,-1))</f>
        <v>1220</v>
      </c>
      <c r="F4" s="32" t="n">
        <f aca="false">D4-E4</f>
        <v>210.58</v>
      </c>
      <c r="G4" s="39" t="n">
        <f aca="false">IF(E4=0,"—",F4/E4)</f>
        <v>0.172606557377049</v>
      </c>
      <c r="H4" s="19" t="s">
        <v>271</v>
      </c>
    </row>
    <row r="5" customFormat="false" ht="16.4" hidden="false" customHeight="false" outlineLevel="0" collapsed="false">
      <c r="A5" s="7" t="s">
        <v>277</v>
      </c>
      <c r="B5" s="32" t="n">
        <f aca="false">SUMIF(地形刷新表!$A$2:$A$111,A5,地形刷新表!$I$2:$I$111)</f>
        <v>71.548</v>
      </c>
      <c r="C5" s="38" t="n">
        <f aca="false">稀有度固定概率设置!$B$8</f>
        <v>12</v>
      </c>
      <c r="D5" s="32" t="n">
        <f aca="false">B5*C5</f>
        <v>858.576</v>
      </c>
      <c r="E5" s="11" t="n">
        <f aca="false">IF($H5="是",0,ROUND(D5*稀有度固定概率设置!$B$9,-1))</f>
        <v>730</v>
      </c>
      <c r="F5" s="32" t="n">
        <f aca="false">D5-E5</f>
        <v>128.576</v>
      </c>
      <c r="G5" s="39" t="n">
        <f aca="false">IF(E5=0,"—",F5/E5)</f>
        <v>0.176131506849315</v>
      </c>
      <c r="H5" s="19" t="s">
        <v>271</v>
      </c>
    </row>
    <row r="6" customFormat="false" ht="15" hidden="false" customHeight="false" outlineLevel="0" collapsed="false">
      <c r="A6" s="7" t="s">
        <v>279</v>
      </c>
      <c r="B6" s="32" t="n">
        <f aca="false">SUMIF(地形刷新表!$A$2:$A$111,A6,地形刷新表!$I$2:$I$111)</f>
        <v>80.686</v>
      </c>
      <c r="C6" s="38" t="n">
        <f aca="false">稀有度固定概率设置!$B$8</f>
        <v>12</v>
      </c>
      <c r="D6" s="32" t="n">
        <f aca="false">B6*C6</f>
        <v>968.232</v>
      </c>
      <c r="E6" s="11" t="n">
        <f aca="false">IF($H6="是",0,ROUND(D6*稀有度固定概率设置!$B$9,-1))</f>
        <v>820</v>
      </c>
      <c r="F6" s="32" t="n">
        <f aca="false">D6-E6</f>
        <v>148.232</v>
      </c>
      <c r="G6" s="39" t="n">
        <f aca="false">IF(E6=0,"—",F6/E6)</f>
        <v>0.180770731707317</v>
      </c>
      <c r="H6" s="19" t="s">
        <v>271</v>
      </c>
    </row>
    <row r="7" customFormat="false" ht="16.4" hidden="false" customHeight="false" outlineLevel="0" collapsed="false">
      <c r="A7" s="7" t="s">
        <v>281</v>
      </c>
      <c r="B7" s="32" t="n">
        <f aca="false">SUMIF(地形刷新表!$A$2:$A$111,A7,地形刷新表!$I$2:$I$111)</f>
        <v>76.584</v>
      </c>
      <c r="C7" s="38" t="n">
        <f aca="false">稀有度固定概率设置!$B$8</f>
        <v>12</v>
      </c>
      <c r="D7" s="32" t="n">
        <f aca="false">B7*C7</f>
        <v>919.008</v>
      </c>
      <c r="E7" s="11" t="n">
        <f aca="false">IF($H7="是",0,ROUND(D7*稀有度固定概率设置!$B$9,-1))</f>
        <v>780</v>
      </c>
      <c r="F7" s="32" t="n">
        <f aca="false">D7-E7</f>
        <v>139.008</v>
      </c>
      <c r="G7" s="39" t="n">
        <f aca="false">IF(E7=0,"—",F7/E7)</f>
        <v>0.178215384615385</v>
      </c>
      <c r="H7" s="19" t="s">
        <v>271</v>
      </c>
    </row>
    <row r="8" customFormat="false" ht="16.4" hidden="false" customHeight="false" outlineLevel="0" collapsed="false">
      <c r="A8" s="7" t="s">
        <v>283</v>
      </c>
      <c r="B8" s="32" t="n">
        <f aca="false">SUMIF(地形刷新表!$A$2:$A$111,A8,地形刷新表!$I$2:$I$111)</f>
        <v>79.60625</v>
      </c>
      <c r="C8" s="38" t="n">
        <f aca="false">稀有度固定概率设置!$B$8</f>
        <v>12</v>
      </c>
      <c r="D8" s="32" t="n">
        <f aca="false">B8*C8</f>
        <v>955.275</v>
      </c>
      <c r="E8" s="11" t="n">
        <f aca="false">IF($H8="是",0,ROUND(D8*稀有度固定概率设置!$B$9,-1))</f>
        <v>810</v>
      </c>
      <c r="F8" s="32" t="n">
        <f aca="false">D8-E8</f>
        <v>145.275</v>
      </c>
      <c r="G8" s="39" t="n">
        <f aca="false">IF(E8=0,"—",F8/E8)</f>
        <v>0.179351851851852</v>
      </c>
      <c r="H8" s="19" t="s">
        <v>271</v>
      </c>
    </row>
    <row r="9" customFormat="false" ht="16.4" hidden="false" customHeight="false" outlineLevel="0" collapsed="false">
      <c r="A9" s="7" t="s">
        <v>285</v>
      </c>
      <c r="B9" s="32" t="n">
        <f aca="false">SUMIF(地形刷新表!$A$2:$A$111,A9,地形刷新表!$I$2:$I$111)</f>
        <v>87.8583333333333</v>
      </c>
      <c r="C9" s="38" t="n">
        <f aca="false">稀有度固定概率设置!$B$8</f>
        <v>12</v>
      </c>
      <c r="D9" s="32" t="n">
        <f aca="false">B9*C9</f>
        <v>1054.3</v>
      </c>
      <c r="E9" s="11" t="n">
        <f aca="false">IF($H9="是",0,ROUND(D9*稀有度固定概率设置!$B$9,-1))</f>
        <v>900</v>
      </c>
      <c r="F9" s="32" t="n">
        <f aca="false">D9-E9</f>
        <v>154.3</v>
      </c>
      <c r="G9" s="39" t="n">
        <f aca="false">IF(E9=0,"—",F9/E9)</f>
        <v>0.171444444444444</v>
      </c>
      <c r="H9" s="19" t="s">
        <v>271</v>
      </c>
    </row>
    <row r="11" customFormat="false" ht="17.15" hidden="false" customHeight="false" outlineLevel="0" collapsed="false">
      <c r="A11" s="2" t="s">
        <v>293</v>
      </c>
    </row>
    <row r="12" customFormat="false" ht="15" hidden="false" customHeight="false" outlineLevel="0" collapsed="false">
      <c r="A12" s="2" t="s">
        <v>294</v>
      </c>
    </row>
    <row r="13" customFormat="false" ht="15" hidden="false" customHeight="false" outlineLevel="0" collapsed="false">
      <c r="A13" s="2" t="s">
        <v>295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37" t="s">
        <v>296</v>
      </c>
      <c r="B1" s="37" t="s">
        <v>264</v>
      </c>
      <c r="C1" s="37" t="s">
        <v>297</v>
      </c>
      <c r="D1" s="37" t="s">
        <v>298</v>
      </c>
      <c r="E1" s="37" t="s">
        <v>299</v>
      </c>
    </row>
    <row r="2" customFormat="false" ht="16.4" hidden="false" customHeight="false" outlineLevel="0" collapsed="false">
      <c r="A2" s="13" t="n">
        <v>1</v>
      </c>
      <c r="B2" s="40" t="s">
        <v>269</v>
      </c>
      <c r="C2" s="19" t="n">
        <v>0</v>
      </c>
      <c r="D2" s="13" t="n">
        <f aca="false">COUNTIF(地形刷新表!$A$2:$A$111,B2)</f>
        <v>12</v>
      </c>
      <c r="E2" s="41" t="s">
        <v>300</v>
      </c>
    </row>
    <row r="3" customFormat="false" ht="16.4" hidden="false" customHeight="false" outlineLevel="0" collapsed="false">
      <c r="A3" s="13" t="n">
        <v>2</v>
      </c>
      <c r="B3" s="40" t="s">
        <v>283</v>
      </c>
      <c r="C3" s="19" t="n">
        <v>8</v>
      </c>
      <c r="D3" s="13" t="n">
        <f aca="false">COUNTIF(地形刷新表!$A$2:$A$111,B3)</f>
        <v>11</v>
      </c>
      <c r="E3" s="41"/>
    </row>
    <row r="4" customFormat="false" ht="16.4" hidden="false" customHeight="false" outlineLevel="0" collapsed="false">
      <c r="A4" s="13" t="n">
        <v>3</v>
      </c>
      <c r="B4" s="40" t="s">
        <v>273</v>
      </c>
      <c r="C4" s="19" t="n">
        <v>16</v>
      </c>
      <c r="D4" s="13" t="n">
        <f aca="false">COUNTIF(地形刷新表!$A$2:$A$111,B4)</f>
        <v>13</v>
      </c>
      <c r="E4" s="41"/>
    </row>
    <row r="5" customFormat="false" ht="15" hidden="false" customHeight="false" outlineLevel="0" collapsed="false">
      <c r="A5" s="13" t="n">
        <v>4</v>
      </c>
      <c r="B5" s="40" t="s">
        <v>279</v>
      </c>
      <c r="C5" s="19" t="n">
        <v>24</v>
      </c>
      <c r="D5" s="13" t="n">
        <f aca="false">COUNTIF(地形刷新表!$A$2:$A$111,B5)</f>
        <v>13</v>
      </c>
      <c r="E5" s="41"/>
    </row>
    <row r="6" customFormat="false" ht="16.4" hidden="false" customHeight="false" outlineLevel="0" collapsed="false">
      <c r="A6" s="13" t="n">
        <v>5</v>
      </c>
      <c r="B6" s="40" t="s">
        <v>285</v>
      </c>
      <c r="C6" s="19" t="n">
        <v>32</v>
      </c>
      <c r="D6" s="13" t="n">
        <f aca="false">COUNTIF(地形刷新表!$A$2:$A$111,B6)</f>
        <v>11</v>
      </c>
      <c r="E6" s="41" t="s">
        <v>301</v>
      </c>
    </row>
    <row r="7" customFormat="false" ht="16.4" hidden="false" customHeight="false" outlineLevel="0" collapsed="false">
      <c r="A7" s="13" t="n">
        <v>6</v>
      </c>
      <c r="B7" s="40" t="s">
        <v>281</v>
      </c>
      <c r="C7" s="19" t="n">
        <v>42</v>
      </c>
      <c r="D7" s="13" t="n">
        <f aca="false">COUNTIF(地形刷新表!$A$2:$A$111,B7)</f>
        <v>11</v>
      </c>
      <c r="E7" s="41" t="s">
        <v>302</v>
      </c>
    </row>
    <row r="8" customFormat="false" ht="16.4" hidden="false" customHeight="false" outlineLevel="0" collapsed="false">
      <c r="A8" s="13" t="n">
        <v>7</v>
      </c>
      <c r="B8" s="40" t="s">
        <v>277</v>
      </c>
      <c r="C8" s="19" t="n">
        <v>52</v>
      </c>
      <c r="D8" s="13" t="n">
        <f aca="false">COUNTIF(地形刷新表!$A$2:$A$111,B8)</f>
        <v>13</v>
      </c>
      <c r="E8" s="41" t="s">
        <v>303</v>
      </c>
    </row>
    <row r="9" customFormat="false" ht="16.4" hidden="false" customHeight="false" outlineLevel="0" collapsed="false">
      <c r="A9" s="13" t="n">
        <v>8</v>
      </c>
      <c r="B9" s="40" t="s">
        <v>275</v>
      </c>
      <c r="C9" s="19" t="n">
        <v>64</v>
      </c>
      <c r="D9" s="13" t="n">
        <f aca="false">COUNTIF(地形刷新表!$A$2:$A$111,B9)</f>
        <v>18</v>
      </c>
      <c r="E9" s="41" t="s">
        <v>304</v>
      </c>
    </row>
    <row r="11" customFormat="false" ht="15" hidden="false" customHeight="false" outlineLevel="0" collapsed="false">
      <c r="B11" s="2" t="s">
        <v>305</v>
      </c>
    </row>
    <row r="12" customFormat="false" ht="15" hidden="false" customHeight="false" outlineLevel="0" collapsed="false">
      <c r="B12" s="2" t="s">
        <v>306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2026-07-28T08:57:43Z</dcterms:created>
  <dc:creator>openpyxl</dc:creator>
  <dc:description/>
  <dc:language>en-US</dc:language>
  <cp:lastModifiedBy/>
  <dcterms:modified xsi:type="dcterms:W3CDTF">2026-07-28T08:57:43Z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